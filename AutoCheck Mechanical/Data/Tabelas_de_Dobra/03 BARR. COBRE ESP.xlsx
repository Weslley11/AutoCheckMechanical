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defaultThemeVersion="124226"/>
  <xr:revisionPtr revIDLastSave="0" documentId="13_ncr:1_{34B0558C-14D1-43C2-9D32-2E794E0D5B4A}" xr6:coauthVersionLast="44" xr6:coauthVersionMax="44" xr10:uidLastSave="{00000000-0000-0000-0000-000000000000}"/>
  <bookViews>
    <workbookView xWindow="-120" yWindow="-120" windowWidth="29040" windowHeight="15990" xr2:uid="{00000000-000D-0000-FFFF-FFFF00000000}"/>
  </bookViews>
  <sheets>
    <sheet name="Plan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89" i="1" l="1"/>
  <c r="D88" i="1"/>
  <c r="D83" i="1" l="1"/>
  <c r="D82" i="1"/>
  <c r="D81" i="1" l="1"/>
  <c r="E87" i="1" l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G82" i="1"/>
  <c r="F82" i="1"/>
  <c r="E82" i="1"/>
  <c r="G81" i="1"/>
  <c r="F81" i="1"/>
  <c r="E81" i="1"/>
  <c r="E80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D44" i="1"/>
  <c r="C44" i="1"/>
  <c r="D43" i="1"/>
  <c r="C43" i="1"/>
  <c r="D42" i="1"/>
  <c r="C42" i="1"/>
  <c r="D41" i="1"/>
  <c r="C41" i="1"/>
  <c r="D40" i="1"/>
  <c r="C40" i="1"/>
  <c r="D39" i="1"/>
  <c r="C39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B16" i="1"/>
  <c r="B15" i="1"/>
  <c r="B14" i="1"/>
  <c r="B13" i="1"/>
  <c r="B12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ingoh:</t>
        </r>
        <r>
          <rPr>
            <sz val="8"/>
            <color indexed="81"/>
            <rFont val="Tahoma"/>
            <family val="2"/>
          </rPr>
          <t xml:space="preserve"> ALTERADO DE 4,0 PARA 3,0 CONFORME TBG-0084 REV. 5</t>
        </r>
        <r>
          <rPr>
            <sz val="8"/>
            <color indexed="81"/>
            <rFont val="Tahoma"/>
            <family val="2"/>
          </rPr>
          <t xml:space="preserve">
05/10/07</t>
        </r>
      </text>
    </comment>
    <comment ref="D2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ingoh:</t>
        </r>
        <r>
          <rPr>
            <sz val="8"/>
            <color indexed="81"/>
            <rFont val="Tahoma"/>
            <family val="2"/>
          </rPr>
          <t>ALTERADO DE 1,2 PARA 1,0 COFORME TBG-0084 REV. 5</t>
        </r>
        <r>
          <rPr>
            <sz val="8"/>
            <color indexed="81"/>
            <rFont val="Tahoma"/>
            <family val="2"/>
          </rPr>
          <t xml:space="preserve">
05/10/07</t>
        </r>
      </text>
    </comment>
  </commentList>
</comments>
</file>

<file path=xl/sharedStrings.xml><?xml version="1.0" encoding="utf-8"?>
<sst xmlns="http://schemas.openxmlformats.org/spreadsheetml/2006/main" count="24" uniqueCount="9">
  <si>
    <t>Unit:</t>
  </si>
  <si>
    <t>Millimeters</t>
  </si>
  <si>
    <t xml:space="preserve">Type: </t>
  </si>
  <si>
    <t>Bend Deduction</t>
  </si>
  <si>
    <t>Material:</t>
  </si>
  <si>
    <t>Cobre</t>
  </si>
  <si>
    <t>Thickness:</t>
  </si>
  <si>
    <t>Angle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</si>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</sst>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2"/>
      <color indexed="19"/>
      <name val="Arial"/>
      <family val="2"/>
    </font>
    <font>
      <b/>
      <sz val="12"/>
      <color indexed="10"/>
      <name val="Arial"/>
      <family val="2"/>
    </font>
    <font>
      <sz val="12"/>
      <color indexed="17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4" fontId="4" fillId="4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5" borderId="0" xfId="0" applyFont="1" applyFill="1"/>
    <xf numFmtId="164" fontId="4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3" fontId="2" fillId="0" borderId="0" xfId="0" applyNumberFormat="1" applyFont="1" applyAlignment="1">
      <alignment horizontal="center"/>
    </xf>
    <xf numFmtId="13" fontId="6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/>
    <xf numFmtId="0" fontId="3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4" fontId="4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8" xfId="0" applyBorder="1"/>
    <xf numFmtId="0" fontId="8" fillId="2" borderId="8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9"/>
  <sheetViews>
    <sheetView tabSelected="1" topLeftCell="A67" zoomScale="85" zoomScaleNormal="85" workbookViewId="0">
      <selection activeCell="D88" sqref="D88"/>
    </sheetView>
  </sheetViews>
  <sheetFormatPr defaultRowHeight="15" x14ac:dyDescent="0.25"/>
  <cols>
    <col min="1" max="1" width="17" customWidth="1"/>
    <col min="2" max="3" width="9.85546875" bestFit="1" customWidth="1"/>
    <col min="4" max="4" width="10.7109375" bestFit="1" customWidth="1"/>
    <col min="5" max="5" width="9.85546875" bestFit="1" customWidth="1"/>
    <col min="6" max="7" width="11.28515625" bestFit="1" customWidth="1"/>
    <col min="8" max="8" width="9.28515625" bestFit="1" customWidth="1"/>
    <col min="257" max="257" width="17" customWidth="1"/>
    <col min="258" max="259" width="9.85546875" bestFit="1" customWidth="1"/>
    <col min="260" max="260" width="9.85546875" customWidth="1"/>
    <col min="261" max="261" width="9.85546875" bestFit="1" customWidth="1"/>
    <col min="262" max="263" width="11.28515625" bestFit="1" customWidth="1"/>
    <col min="264" max="264" width="9.28515625" bestFit="1" customWidth="1"/>
    <col min="513" max="513" width="17" customWidth="1"/>
    <col min="514" max="515" width="9.85546875" bestFit="1" customWidth="1"/>
    <col min="516" max="516" width="9.85546875" customWidth="1"/>
    <col min="517" max="517" width="9.85546875" bestFit="1" customWidth="1"/>
    <col min="518" max="519" width="11.28515625" bestFit="1" customWidth="1"/>
    <col min="520" max="520" width="9.28515625" bestFit="1" customWidth="1"/>
    <col min="769" max="769" width="17" customWidth="1"/>
    <col min="770" max="771" width="9.85546875" bestFit="1" customWidth="1"/>
    <col min="772" max="772" width="9.85546875" customWidth="1"/>
    <col min="773" max="773" width="9.85546875" bestFit="1" customWidth="1"/>
    <col min="774" max="775" width="11.28515625" bestFit="1" customWidth="1"/>
    <col min="776" max="776" width="9.28515625" bestFit="1" customWidth="1"/>
    <col min="1025" max="1025" width="17" customWidth="1"/>
    <col min="1026" max="1027" width="9.85546875" bestFit="1" customWidth="1"/>
    <col min="1028" max="1028" width="9.85546875" customWidth="1"/>
    <col min="1029" max="1029" width="9.85546875" bestFit="1" customWidth="1"/>
    <col min="1030" max="1031" width="11.28515625" bestFit="1" customWidth="1"/>
    <col min="1032" max="1032" width="9.28515625" bestFit="1" customWidth="1"/>
    <col min="1281" max="1281" width="17" customWidth="1"/>
    <col min="1282" max="1283" width="9.85546875" bestFit="1" customWidth="1"/>
    <col min="1284" max="1284" width="9.85546875" customWidth="1"/>
    <col min="1285" max="1285" width="9.85546875" bestFit="1" customWidth="1"/>
    <col min="1286" max="1287" width="11.28515625" bestFit="1" customWidth="1"/>
    <col min="1288" max="1288" width="9.28515625" bestFit="1" customWidth="1"/>
    <col min="1537" max="1537" width="17" customWidth="1"/>
    <col min="1538" max="1539" width="9.85546875" bestFit="1" customWidth="1"/>
    <col min="1540" max="1540" width="9.85546875" customWidth="1"/>
    <col min="1541" max="1541" width="9.85546875" bestFit="1" customWidth="1"/>
    <col min="1542" max="1543" width="11.28515625" bestFit="1" customWidth="1"/>
    <col min="1544" max="1544" width="9.28515625" bestFit="1" customWidth="1"/>
    <col min="1793" max="1793" width="17" customWidth="1"/>
    <col min="1794" max="1795" width="9.85546875" bestFit="1" customWidth="1"/>
    <col min="1796" max="1796" width="9.85546875" customWidth="1"/>
    <col min="1797" max="1797" width="9.85546875" bestFit="1" customWidth="1"/>
    <col min="1798" max="1799" width="11.28515625" bestFit="1" customWidth="1"/>
    <col min="1800" max="1800" width="9.28515625" bestFit="1" customWidth="1"/>
    <col min="2049" max="2049" width="17" customWidth="1"/>
    <col min="2050" max="2051" width="9.85546875" bestFit="1" customWidth="1"/>
    <col min="2052" max="2052" width="9.85546875" customWidth="1"/>
    <col min="2053" max="2053" width="9.85546875" bestFit="1" customWidth="1"/>
    <col min="2054" max="2055" width="11.28515625" bestFit="1" customWidth="1"/>
    <col min="2056" max="2056" width="9.28515625" bestFit="1" customWidth="1"/>
    <col min="2305" max="2305" width="17" customWidth="1"/>
    <col min="2306" max="2307" width="9.85546875" bestFit="1" customWidth="1"/>
    <col min="2308" max="2308" width="9.85546875" customWidth="1"/>
    <col min="2309" max="2309" width="9.85546875" bestFit="1" customWidth="1"/>
    <col min="2310" max="2311" width="11.28515625" bestFit="1" customWidth="1"/>
    <col min="2312" max="2312" width="9.28515625" bestFit="1" customWidth="1"/>
    <col min="2561" max="2561" width="17" customWidth="1"/>
    <col min="2562" max="2563" width="9.85546875" bestFit="1" customWidth="1"/>
    <col min="2564" max="2564" width="9.85546875" customWidth="1"/>
    <col min="2565" max="2565" width="9.85546875" bestFit="1" customWidth="1"/>
    <col min="2566" max="2567" width="11.28515625" bestFit="1" customWidth="1"/>
    <col min="2568" max="2568" width="9.28515625" bestFit="1" customWidth="1"/>
    <col min="2817" max="2817" width="17" customWidth="1"/>
    <col min="2818" max="2819" width="9.85546875" bestFit="1" customWidth="1"/>
    <col min="2820" max="2820" width="9.85546875" customWidth="1"/>
    <col min="2821" max="2821" width="9.85546875" bestFit="1" customWidth="1"/>
    <col min="2822" max="2823" width="11.28515625" bestFit="1" customWidth="1"/>
    <col min="2824" max="2824" width="9.28515625" bestFit="1" customWidth="1"/>
    <col min="3073" max="3073" width="17" customWidth="1"/>
    <col min="3074" max="3075" width="9.85546875" bestFit="1" customWidth="1"/>
    <col min="3076" max="3076" width="9.85546875" customWidth="1"/>
    <col min="3077" max="3077" width="9.85546875" bestFit="1" customWidth="1"/>
    <col min="3078" max="3079" width="11.28515625" bestFit="1" customWidth="1"/>
    <col min="3080" max="3080" width="9.28515625" bestFit="1" customWidth="1"/>
    <col min="3329" max="3329" width="17" customWidth="1"/>
    <col min="3330" max="3331" width="9.85546875" bestFit="1" customWidth="1"/>
    <col min="3332" max="3332" width="9.85546875" customWidth="1"/>
    <col min="3333" max="3333" width="9.85546875" bestFit="1" customWidth="1"/>
    <col min="3334" max="3335" width="11.28515625" bestFit="1" customWidth="1"/>
    <col min="3336" max="3336" width="9.28515625" bestFit="1" customWidth="1"/>
    <col min="3585" max="3585" width="17" customWidth="1"/>
    <col min="3586" max="3587" width="9.85546875" bestFit="1" customWidth="1"/>
    <col min="3588" max="3588" width="9.85546875" customWidth="1"/>
    <col min="3589" max="3589" width="9.85546875" bestFit="1" customWidth="1"/>
    <col min="3590" max="3591" width="11.28515625" bestFit="1" customWidth="1"/>
    <col min="3592" max="3592" width="9.28515625" bestFit="1" customWidth="1"/>
    <col min="3841" max="3841" width="17" customWidth="1"/>
    <col min="3842" max="3843" width="9.85546875" bestFit="1" customWidth="1"/>
    <col min="3844" max="3844" width="9.85546875" customWidth="1"/>
    <col min="3845" max="3845" width="9.85546875" bestFit="1" customWidth="1"/>
    <col min="3846" max="3847" width="11.28515625" bestFit="1" customWidth="1"/>
    <col min="3848" max="3848" width="9.28515625" bestFit="1" customWidth="1"/>
    <col min="4097" max="4097" width="17" customWidth="1"/>
    <col min="4098" max="4099" width="9.85546875" bestFit="1" customWidth="1"/>
    <col min="4100" max="4100" width="9.85546875" customWidth="1"/>
    <col min="4101" max="4101" width="9.85546875" bestFit="1" customWidth="1"/>
    <col min="4102" max="4103" width="11.28515625" bestFit="1" customWidth="1"/>
    <col min="4104" max="4104" width="9.28515625" bestFit="1" customWidth="1"/>
    <col min="4353" max="4353" width="17" customWidth="1"/>
    <col min="4354" max="4355" width="9.85546875" bestFit="1" customWidth="1"/>
    <col min="4356" max="4356" width="9.85546875" customWidth="1"/>
    <col min="4357" max="4357" width="9.85546875" bestFit="1" customWidth="1"/>
    <col min="4358" max="4359" width="11.28515625" bestFit="1" customWidth="1"/>
    <col min="4360" max="4360" width="9.28515625" bestFit="1" customWidth="1"/>
    <col min="4609" max="4609" width="17" customWidth="1"/>
    <col min="4610" max="4611" width="9.85546875" bestFit="1" customWidth="1"/>
    <col min="4612" max="4612" width="9.85546875" customWidth="1"/>
    <col min="4613" max="4613" width="9.85546875" bestFit="1" customWidth="1"/>
    <col min="4614" max="4615" width="11.28515625" bestFit="1" customWidth="1"/>
    <col min="4616" max="4616" width="9.28515625" bestFit="1" customWidth="1"/>
    <col min="4865" max="4865" width="17" customWidth="1"/>
    <col min="4866" max="4867" width="9.85546875" bestFit="1" customWidth="1"/>
    <col min="4868" max="4868" width="9.85546875" customWidth="1"/>
    <col min="4869" max="4869" width="9.85546875" bestFit="1" customWidth="1"/>
    <col min="4870" max="4871" width="11.28515625" bestFit="1" customWidth="1"/>
    <col min="4872" max="4872" width="9.28515625" bestFit="1" customWidth="1"/>
    <col min="5121" max="5121" width="17" customWidth="1"/>
    <col min="5122" max="5123" width="9.85546875" bestFit="1" customWidth="1"/>
    <col min="5124" max="5124" width="9.85546875" customWidth="1"/>
    <col min="5125" max="5125" width="9.85546875" bestFit="1" customWidth="1"/>
    <col min="5126" max="5127" width="11.28515625" bestFit="1" customWidth="1"/>
    <col min="5128" max="5128" width="9.28515625" bestFit="1" customWidth="1"/>
    <col min="5377" max="5377" width="17" customWidth="1"/>
    <col min="5378" max="5379" width="9.85546875" bestFit="1" customWidth="1"/>
    <col min="5380" max="5380" width="9.85546875" customWidth="1"/>
    <col min="5381" max="5381" width="9.85546875" bestFit="1" customWidth="1"/>
    <col min="5382" max="5383" width="11.28515625" bestFit="1" customWidth="1"/>
    <col min="5384" max="5384" width="9.28515625" bestFit="1" customWidth="1"/>
    <col min="5633" max="5633" width="17" customWidth="1"/>
    <col min="5634" max="5635" width="9.85546875" bestFit="1" customWidth="1"/>
    <col min="5636" max="5636" width="9.85546875" customWidth="1"/>
    <col min="5637" max="5637" width="9.85546875" bestFit="1" customWidth="1"/>
    <col min="5638" max="5639" width="11.28515625" bestFit="1" customWidth="1"/>
    <col min="5640" max="5640" width="9.28515625" bestFit="1" customWidth="1"/>
    <col min="5889" max="5889" width="17" customWidth="1"/>
    <col min="5890" max="5891" width="9.85546875" bestFit="1" customWidth="1"/>
    <col min="5892" max="5892" width="9.85546875" customWidth="1"/>
    <col min="5893" max="5893" width="9.85546875" bestFit="1" customWidth="1"/>
    <col min="5894" max="5895" width="11.28515625" bestFit="1" customWidth="1"/>
    <col min="5896" max="5896" width="9.28515625" bestFit="1" customWidth="1"/>
    <col min="6145" max="6145" width="17" customWidth="1"/>
    <col min="6146" max="6147" width="9.85546875" bestFit="1" customWidth="1"/>
    <col min="6148" max="6148" width="9.85546875" customWidth="1"/>
    <col min="6149" max="6149" width="9.85546875" bestFit="1" customWidth="1"/>
    <col min="6150" max="6151" width="11.28515625" bestFit="1" customWidth="1"/>
    <col min="6152" max="6152" width="9.28515625" bestFit="1" customWidth="1"/>
    <col min="6401" max="6401" width="17" customWidth="1"/>
    <col min="6402" max="6403" width="9.85546875" bestFit="1" customWidth="1"/>
    <col min="6404" max="6404" width="9.85546875" customWidth="1"/>
    <col min="6405" max="6405" width="9.85546875" bestFit="1" customWidth="1"/>
    <col min="6406" max="6407" width="11.28515625" bestFit="1" customWidth="1"/>
    <col min="6408" max="6408" width="9.28515625" bestFit="1" customWidth="1"/>
    <col min="6657" max="6657" width="17" customWidth="1"/>
    <col min="6658" max="6659" width="9.85546875" bestFit="1" customWidth="1"/>
    <col min="6660" max="6660" width="9.85546875" customWidth="1"/>
    <col min="6661" max="6661" width="9.85546875" bestFit="1" customWidth="1"/>
    <col min="6662" max="6663" width="11.28515625" bestFit="1" customWidth="1"/>
    <col min="6664" max="6664" width="9.28515625" bestFit="1" customWidth="1"/>
    <col min="6913" max="6913" width="17" customWidth="1"/>
    <col min="6914" max="6915" width="9.85546875" bestFit="1" customWidth="1"/>
    <col min="6916" max="6916" width="9.85546875" customWidth="1"/>
    <col min="6917" max="6917" width="9.85546875" bestFit="1" customWidth="1"/>
    <col min="6918" max="6919" width="11.28515625" bestFit="1" customWidth="1"/>
    <col min="6920" max="6920" width="9.28515625" bestFit="1" customWidth="1"/>
    <col min="7169" max="7169" width="17" customWidth="1"/>
    <col min="7170" max="7171" width="9.85546875" bestFit="1" customWidth="1"/>
    <col min="7172" max="7172" width="9.85546875" customWidth="1"/>
    <col min="7173" max="7173" width="9.85546875" bestFit="1" customWidth="1"/>
    <col min="7174" max="7175" width="11.28515625" bestFit="1" customWidth="1"/>
    <col min="7176" max="7176" width="9.28515625" bestFit="1" customWidth="1"/>
    <col min="7425" max="7425" width="17" customWidth="1"/>
    <col min="7426" max="7427" width="9.85546875" bestFit="1" customWidth="1"/>
    <col min="7428" max="7428" width="9.85546875" customWidth="1"/>
    <col min="7429" max="7429" width="9.85546875" bestFit="1" customWidth="1"/>
    <col min="7430" max="7431" width="11.28515625" bestFit="1" customWidth="1"/>
    <col min="7432" max="7432" width="9.28515625" bestFit="1" customWidth="1"/>
    <col min="7681" max="7681" width="17" customWidth="1"/>
    <col min="7682" max="7683" width="9.85546875" bestFit="1" customWidth="1"/>
    <col min="7684" max="7684" width="9.85546875" customWidth="1"/>
    <col min="7685" max="7685" width="9.85546875" bestFit="1" customWidth="1"/>
    <col min="7686" max="7687" width="11.28515625" bestFit="1" customWidth="1"/>
    <col min="7688" max="7688" width="9.28515625" bestFit="1" customWidth="1"/>
    <col min="7937" max="7937" width="17" customWidth="1"/>
    <col min="7938" max="7939" width="9.85546875" bestFit="1" customWidth="1"/>
    <col min="7940" max="7940" width="9.85546875" customWidth="1"/>
    <col min="7941" max="7941" width="9.85546875" bestFit="1" customWidth="1"/>
    <col min="7942" max="7943" width="11.28515625" bestFit="1" customWidth="1"/>
    <col min="7944" max="7944" width="9.28515625" bestFit="1" customWidth="1"/>
    <col min="8193" max="8193" width="17" customWidth="1"/>
    <col min="8194" max="8195" width="9.85546875" bestFit="1" customWidth="1"/>
    <col min="8196" max="8196" width="9.85546875" customWidth="1"/>
    <col min="8197" max="8197" width="9.85546875" bestFit="1" customWidth="1"/>
    <col min="8198" max="8199" width="11.28515625" bestFit="1" customWidth="1"/>
    <col min="8200" max="8200" width="9.28515625" bestFit="1" customWidth="1"/>
    <col min="8449" max="8449" width="17" customWidth="1"/>
    <col min="8450" max="8451" width="9.85546875" bestFit="1" customWidth="1"/>
    <col min="8452" max="8452" width="9.85546875" customWidth="1"/>
    <col min="8453" max="8453" width="9.85546875" bestFit="1" customWidth="1"/>
    <col min="8454" max="8455" width="11.28515625" bestFit="1" customWidth="1"/>
    <col min="8456" max="8456" width="9.28515625" bestFit="1" customWidth="1"/>
    <col min="8705" max="8705" width="17" customWidth="1"/>
    <col min="8706" max="8707" width="9.85546875" bestFit="1" customWidth="1"/>
    <col min="8708" max="8708" width="9.85546875" customWidth="1"/>
    <col min="8709" max="8709" width="9.85546875" bestFit="1" customWidth="1"/>
    <col min="8710" max="8711" width="11.28515625" bestFit="1" customWidth="1"/>
    <col min="8712" max="8712" width="9.28515625" bestFit="1" customWidth="1"/>
    <col min="8961" max="8961" width="17" customWidth="1"/>
    <col min="8962" max="8963" width="9.85546875" bestFit="1" customWidth="1"/>
    <col min="8964" max="8964" width="9.85546875" customWidth="1"/>
    <col min="8965" max="8965" width="9.85546875" bestFit="1" customWidth="1"/>
    <col min="8966" max="8967" width="11.28515625" bestFit="1" customWidth="1"/>
    <col min="8968" max="8968" width="9.28515625" bestFit="1" customWidth="1"/>
    <col min="9217" max="9217" width="17" customWidth="1"/>
    <col min="9218" max="9219" width="9.85546875" bestFit="1" customWidth="1"/>
    <col min="9220" max="9220" width="9.85546875" customWidth="1"/>
    <col min="9221" max="9221" width="9.85546875" bestFit="1" customWidth="1"/>
    <col min="9222" max="9223" width="11.28515625" bestFit="1" customWidth="1"/>
    <col min="9224" max="9224" width="9.28515625" bestFit="1" customWidth="1"/>
    <col min="9473" max="9473" width="17" customWidth="1"/>
    <col min="9474" max="9475" width="9.85546875" bestFit="1" customWidth="1"/>
    <col min="9476" max="9476" width="9.85546875" customWidth="1"/>
    <col min="9477" max="9477" width="9.85546875" bestFit="1" customWidth="1"/>
    <col min="9478" max="9479" width="11.28515625" bestFit="1" customWidth="1"/>
    <col min="9480" max="9480" width="9.28515625" bestFit="1" customWidth="1"/>
    <col min="9729" max="9729" width="17" customWidth="1"/>
    <col min="9730" max="9731" width="9.85546875" bestFit="1" customWidth="1"/>
    <col min="9732" max="9732" width="9.85546875" customWidth="1"/>
    <col min="9733" max="9733" width="9.85546875" bestFit="1" customWidth="1"/>
    <col min="9734" max="9735" width="11.28515625" bestFit="1" customWidth="1"/>
    <col min="9736" max="9736" width="9.28515625" bestFit="1" customWidth="1"/>
    <col min="9985" max="9985" width="17" customWidth="1"/>
    <col min="9986" max="9987" width="9.85546875" bestFit="1" customWidth="1"/>
    <col min="9988" max="9988" width="9.85546875" customWidth="1"/>
    <col min="9989" max="9989" width="9.85546875" bestFit="1" customWidth="1"/>
    <col min="9990" max="9991" width="11.28515625" bestFit="1" customWidth="1"/>
    <col min="9992" max="9992" width="9.28515625" bestFit="1" customWidth="1"/>
    <col min="10241" max="10241" width="17" customWidth="1"/>
    <col min="10242" max="10243" width="9.85546875" bestFit="1" customWidth="1"/>
    <col min="10244" max="10244" width="9.85546875" customWidth="1"/>
    <col min="10245" max="10245" width="9.85546875" bestFit="1" customWidth="1"/>
    <col min="10246" max="10247" width="11.28515625" bestFit="1" customWidth="1"/>
    <col min="10248" max="10248" width="9.28515625" bestFit="1" customWidth="1"/>
    <col min="10497" max="10497" width="17" customWidth="1"/>
    <col min="10498" max="10499" width="9.85546875" bestFit="1" customWidth="1"/>
    <col min="10500" max="10500" width="9.85546875" customWidth="1"/>
    <col min="10501" max="10501" width="9.85546875" bestFit="1" customWidth="1"/>
    <col min="10502" max="10503" width="11.28515625" bestFit="1" customWidth="1"/>
    <col min="10504" max="10504" width="9.28515625" bestFit="1" customWidth="1"/>
    <col min="10753" max="10753" width="17" customWidth="1"/>
    <col min="10754" max="10755" width="9.85546875" bestFit="1" customWidth="1"/>
    <col min="10756" max="10756" width="9.85546875" customWidth="1"/>
    <col min="10757" max="10757" width="9.85546875" bestFit="1" customWidth="1"/>
    <col min="10758" max="10759" width="11.28515625" bestFit="1" customWidth="1"/>
    <col min="10760" max="10760" width="9.28515625" bestFit="1" customWidth="1"/>
    <col min="11009" max="11009" width="17" customWidth="1"/>
    <col min="11010" max="11011" width="9.85546875" bestFit="1" customWidth="1"/>
    <col min="11012" max="11012" width="9.85546875" customWidth="1"/>
    <col min="11013" max="11013" width="9.85546875" bestFit="1" customWidth="1"/>
    <col min="11014" max="11015" width="11.28515625" bestFit="1" customWidth="1"/>
    <col min="11016" max="11016" width="9.28515625" bestFit="1" customWidth="1"/>
    <col min="11265" max="11265" width="17" customWidth="1"/>
    <col min="11266" max="11267" width="9.85546875" bestFit="1" customWidth="1"/>
    <col min="11268" max="11268" width="9.85546875" customWidth="1"/>
    <col min="11269" max="11269" width="9.85546875" bestFit="1" customWidth="1"/>
    <col min="11270" max="11271" width="11.28515625" bestFit="1" customWidth="1"/>
    <col min="11272" max="11272" width="9.28515625" bestFit="1" customWidth="1"/>
    <col min="11521" max="11521" width="17" customWidth="1"/>
    <col min="11522" max="11523" width="9.85546875" bestFit="1" customWidth="1"/>
    <col min="11524" max="11524" width="9.85546875" customWidth="1"/>
    <col min="11525" max="11525" width="9.85546875" bestFit="1" customWidth="1"/>
    <col min="11526" max="11527" width="11.28515625" bestFit="1" customWidth="1"/>
    <col min="11528" max="11528" width="9.28515625" bestFit="1" customWidth="1"/>
    <col min="11777" max="11777" width="17" customWidth="1"/>
    <col min="11778" max="11779" width="9.85546875" bestFit="1" customWidth="1"/>
    <col min="11780" max="11780" width="9.85546875" customWidth="1"/>
    <col min="11781" max="11781" width="9.85546875" bestFit="1" customWidth="1"/>
    <col min="11782" max="11783" width="11.28515625" bestFit="1" customWidth="1"/>
    <col min="11784" max="11784" width="9.28515625" bestFit="1" customWidth="1"/>
    <col min="12033" max="12033" width="17" customWidth="1"/>
    <col min="12034" max="12035" width="9.85546875" bestFit="1" customWidth="1"/>
    <col min="12036" max="12036" width="9.85546875" customWidth="1"/>
    <col min="12037" max="12037" width="9.85546875" bestFit="1" customWidth="1"/>
    <col min="12038" max="12039" width="11.28515625" bestFit="1" customWidth="1"/>
    <col min="12040" max="12040" width="9.28515625" bestFit="1" customWidth="1"/>
    <col min="12289" max="12289" width="17" customWidth="1"/>
    <col min="12290" max="12291" width="9.85546875" bestFit="1" customWidth="1"/>
    <col min="12292" max="12292" width="9.85546875" customWidth="1"/>
    <col min="12293" max="12293" width="9.85546875" bestFit="1" customWidth="1"/>
    <col min="12294" max="12295" width="11.28515625" bestFit="1" customWidth="1"/>
    <col min="12296" max="12296" width="9.28515625" bestFit="1" customWidth="1"/>
    <col min="12545" max="12545" width="17" customWidth="1"/>
    <col min="12546" max="12547" width="9.85546875" bestFit="1" customWidth="1"/>
    <col min="12548" max="12548" width="9.85546875" customWidth="1"/>
    <col min="12549" max="12549" width="9.85546875" bestFit="1" customWidth="1"/>
    <col min="12550" max="12551" width="11.28515625" bestFit="1" customWidth="1"/>
    <col min="12552" max="12552" width="9.28515625" bestFit="1" customWidth="1"/>
    <col min="12801" max="12801" width="17" customWidth="1"/>
    <col min="12802" max="12803" width="9.85546875" bestFit="1" customWidth="1"/>
    <col min="12804" max="12804" width="9.85546875" customWidth="1"/>
    <col min="12805" max="12805" width="9.85546875" bestFit="1" customWidth="1"/>
    <col min="12806" max="12807" width="11.28515625" bestFit="1" customWidth="1"/>
    <col min="12808" max="12808" width="9.28515625" bestFit="1" customWidth="1"/>
    <col min="13057" max="13057" width="17" customWidth="1"/>
    <col min="13058" max="13059" width="9.85546875" bestFit="1" customWidth="1"/>
    <col min="13060" max="13060" width="9.85546875" customWidth="1"/>
    <col min="13061" max="13061" width="9.85546875" bestFit="1" customWidth="1"/>
    <col min="13062" max="13063" width="11.28515625" bestFit="1" customWidth="1"/>
    <col min="13064" max="13064" width="9.28515625" bestFit="1" customWidth="1"/>
    <col min="13313" max="13313" width="17" customWidth="1"/>
    <col min="13314" max="13315" width="9.85546875" bestFit="1" customWidth="1"/>
    <col min="13316" max="13316" width="9.85546875" customWidth="1"/>
    <col min="13317" max="13317" width="9.85546875" bestFit="1" customWidth="1"/>
    <col min="13318" max="13319" width="11.28515625" bestFit="1" customWidth="1"/>
    <col min="13320" max="13320" width="9.28515625" bestFit="1" customWidth="1"/>
    <col min="13569" max="13569" width="17" customWidth="1"/>
    <col min="13570" max="13571" width="9.85546875" bestFit="1" customWidth="1"/>
    <col min="13572" max="13572" width="9.85546875" customWidth="1"/>
    <col min="13573" max="13573" width="9.85546875" bestFit="1" customWidth="1"/>
    <col min="13574" max="13575" width="11.28515625" bestFit="1" customWidth="1"/>
    <col min="13576" max="13576" width="9.28515625" bestFit="1" customWidth="1"/>
    <col min="13825" max="13825" width="17" customWidth="1"/>
    <col min="13826" max="13827" width="9.85546875" bestFit="1" customWidth="1"/>
    <col min="13828" max="13828" width="9.85546875" customWidth="1"/>
    <col min="13829" max="13829" width="9.85546875" bestFit="1" customWidth="1"/>
    <col min="13830" max="13831" width="11.28515625" bestFit="1" customWidth="1"/>
    <col min="13832" max="13832" width="9.28515625" bestFit="1" customWidth="1"/>
    <col min="14081" max="14081" width="17" customWidth="1"/>
    <col min="14082" max="14083" width="9.85546875" bestFit="1" customWidth="1"/>
    <col min="14084" max="14084" width="9.85546875" customWidth="1"/>
    <col min="14085" max="14085" width="9.85546875" bestFit="1" customWidth="1"/>
    <col min="14086" max="14087" width="11.28515625" bestFit="1" customWidth="1"/>
    <col min="14088" max="14088" width="9.28515625" bestFit="1" customWidth="1"/>
    <col min="14337" max="14337" width="17" customWidth="1"/>
    <col min="14338" max="14339" width="9.85546875" bestFit="1" customWidth="1"/>
    <col min="14340" max="14340" width="9.85546875" customWidth="1"/>
    <col min="14341" max="14341" width="9.85546875" bestFit="1" customWidth="1"/>
    <col min="14342" max="14343" width="11.28515625" bestFit="1" customWidth="1"/>
    <col min="14344" max="14344" width="9.28515625" bestFit="1" customWidth="1"/>
    <col min="14593" max="14593" width="17" customWidth="1"/>
    <col min="14594" max="14595" width="9.85546875" bestFit="1" customWidth="1"/>
    <col min="14596" max="14596" width="9.85546875" customWidth="1"/>
    <col min="14597" max="14597" width="9.85546875" bestFit="1" customWidth="1"/>
    <col min="14598" max="14599" width="11.28515625" bestFit="1" customWidth="1"/>
    <col min="14600" max="14600" width="9.28515625" bestFit="1" customWidth="1"/>
    <col min="14849" max="14849" width="17" customWidth="1"/>
    <col min="14850" max="14851" width="9.85546875" bestFit="1" customWidth="1"/>
    <col min="14852" max="14852" width="9.85546875" customWidth="1"/>
    <col min="14853" max="14853" width="9.85546875" bestFit="1" customWidth="1"/>
    <col min="14854" max="14855" width="11.28515625" bestFit="1" customWidth="1"/>
    <col min="14856" max="14856" width="9.28515625" bestFit="1" customWidth="1"/>
    <col min="15105" max="15105" width="17" customWidth="1"/>
    <col min="15106" max="15107" width="9.85546875" bestFit="1" customWidth="1"/>
    <col min="15108" max="15108" width="9.85546875" customWidth="1"/>
    <col min="15109" max="15109" width="9.85546875" bestFit="1" customWidth="1"/>
    <col min="15110" max="15111" width="11.28515625" bestFit="1" customWidth="1"/>
    <col min="15112" max="15112" width="9.28515625" bestFit="1" customWidth="1"/>
    <col min="15361" max="15361" width="17" customWidth="1"/>
    <col min="15362" max="15363" width="9.85546875" bestFit="1" customWidth="1"/>
    <col min="15364" max="15364" width="9.85546875" customWidth="1"/>
    <col min="15365" max="15365" width="9.85546875" bestFit="1" customWidth="1"/>
    <col min="15366" max="15367" width="11.28515625" bestFit="1" customWidth="1"/>
    <col min="15368" max="15368" width="9.28515625" bestFit="1" customWidth="1"/>
    <col min="15617" max="15617" width="17" customWidth="1"/>
    <col min="15618" max="15619" width="9.85546875" bestFit="1" customWidth="1"/>
    <col min="15620" max="15620" width="9.85546875" customWidth="1"/>
    <col min="15621" max="15621" width="9.85546875" bestFit="1" customWidth="1"/>
    <col min="15622" max="15623" width="11.28515625" bestFit="1" customWidth="1"/>
    <col min="15624" max="15624" width="9.28515625" bestFit="1" customWidth="1"/>
    <col min="15873" max="15873" width="17" customWidth="1"/>
    <col min="15874" max="15875" width="9.85546875" bestFit="1" customWidth="1"/>
    <col min="15876" max="15876" width="9.85546875" customWidth="1"/>
    <col min="15877" max="15877" width="9.85546875" bestFit="1" customWidth="1"/>
    <col min="15878" max="15879" width="11.28515625" bestFit="1" customWidth="1"/>
    <col min="15880" max="15880" width="9.28515625" bestFit="1" customWidth="1"/>
    <col min="16129" max="16129" width="17" customWidth="1"/>
    <col min="16130" max="16131" width="9.85546875" bestFit="1" customWidth="1"/>
    <col min="16132" max="16132" width="9.85546875" customWidth="1"/>
    <col min="16133" max="16133" width="9.85546875" bestFit="1" customWidth="1"/>
    <col min="16134" max="16135" width="11.28515625" bestFit="1" customWidth="1"/>
    <col min="16136" max="16136" width="9.28515625" bestFit="1" customWidth="1"/>
  </cols>
  <sheetData>
    <row r="1" spans="1:7" s="1" customFormat="1" x14ac:dyDescent="0.2">
      <c r="B1" s="2"/>
    </row>
    <row r="2" spans="1:7" s="5" customFormat="1" ht="14.25" customHeight="1" x14ac:dyDescent="0.25">
      <c r="A2" s="3" t="s">
        <v>0</v>
      </c>
      <c r="B2" s="4" t="s">
        <v>1</v>
      </c>
      <c r="C2" s="3"/>
      <c r="D2" s="3"/>
      <c r="E2" s="1"/>
      <c r="F2" s="2"/>
      <c r="G2" s="2"/>
    </row>
    <row r="3" spans="1:7" s="5" customFormat="1" ht="15.75" x14ac:dyDescent="0.25">
      <c r="A3" s="3" t="s">
        <v>2</v>
      </c>
      <c r="B3" s="4" t="s">
        <v>3</v>
      </c>
      <c r="C3" s="3"/>
      <c r="D3" s="3"/>
      <c r="E3" s="1"/>
      <c r="F3" s="2"/>
      <c r="G3" s="2"/>
    </row>
    <row r="4" spans="1:7" s="5" customFormat="1" ht="15.75" x14ac:dyDescent="0.25">
      <c r="A4" s="3" t="s">
        <v>4</v>
      </c>
      <c r="B4" s="4" t="s">
        <v>5</v>
      </c>
    </row>
    <row r="5" spans="1:7" s="5" customFormat="1" ht="15.75" x14ac:dyDescent="0.25">
      <c r="A5" s="3"/>
      <c r="B5" s="4"/>
    </row>
    <row r="6" spans="1:7" s="5" customFormat="1" ht="15.75" thickBot="1" x14ac:dyDescent="0.25">
      <c r="A6" s="6"/>
    </row>
    <row r="7" spans="1:7" s="5" customFormat="1" ht="16.5" thickBot="1" x14ac:dyDescent="0.3">
      <c r="A7" s="7" t="s">
        <v>6</v>
      </c>
      <c r="B7" s="8">
        <v>2</v>
      </c>
    </row>
    <row r="8" spans="1:7" s="5" customFormat="1" ht="16.5" thickBot="1" x14ac:dyDescent="0.25">
      <c r="A8" s="41" t="s">
        <v>7</v>
      </c>
      <c r="B8" s="43" t="s">
        <v>8</v>
      </c>
      <c r="C8" s="44"/>
      <c r="D8" s="44"/>
      <c r="E8" s="44"/>
      <c r="F8" s="44"/>
      <c r="G8" s="45"/>
    </row>
    <row r="9" spans="1:7" s="5" customFormat="1" ht="15.75" customHeight="1" thickBot="1" x14ac:dyDescent="0.3">
      <c r="A9" s="42"/>
      <c r="B9" s="9">
        <v>1</v>
      </c>
      <c r="C9" s="10">
        <v>3</v>
      </c>
      <c r="D9" s="10">
        <v>6</v>
      </c>
      <c r="E9" s="10">
        <v>10</v>
      </c>
      <c r="F9" s="10">
        <v>25</v>
      </c>
      <c r="G9" s="10">
        <v>30</v>
      </c>
    </row>
    <row r="10" spans="1:7" s="5" customFormat="1" ht="15.75" customHeight="1" x14ac:dyDescent="0.25">
      <c r="A10" s="37">
        <v>10</v>
      </c>
      <c r="B10" s="38">
        <v>0</v>
      </c>
      <c r="C10" s="38">
        <v>0</v>
      </c>
      <c r="D10" s="38">
        <v>0</v>
      </c>
      <c r="E10" s="40">
        <v>0</v>
      </c>
      <c r="F10" s="38">
        <v>0</v>
      </c>
      <c r="G10" s="38">
        <v>0</v>
      </c>
    </row>
    <row r="11" spans="1:7" s="5" customFormat="1" ht="15.75" x14ac:dyDescent="0.25">
      <c r="A11" s="11">
        <v>15</v>
      </c>
      <c r="B11" s="12">
        <f>0.11*2</f>
        <v>0.22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s="5" customFormat="1" ht="15.75" x14ac:dyDescent="0.25">
      <c r="A12" s="11">
        <v>30</v>
      </c>
      <c r="B12" s="12">
        <f>0.3*2</f>
        <v>0.6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s="5" customFormat="1" ht="15.75" x14ac:dyDescent="0.25">
      <c r="A13" s="11">
        <v>45</v>
      </c>
      <c r="B13" s="12">
        <f>0.53*2</f>
        <v>1.06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s="5" customFormat="1" ht="15.75" x14ac:dyDescent="0.25">
      <c r="A14" s="11">
        <v>60</v>
      </c>
      <c r="B14" s="12">
        <f>0.8*2</f>
        <v>1.6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s="5" customFormat="1" ht="15.75" x14ac:dyDescent="0.25">
      <c r="A15" s="11">
        <v>75</v>
      </c>
      <c r="B15" s="12">
        <f>1.14*2</f>
        <v>2.2799999999999998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s="5" customFormat="1" ht="15.75" x14ac:dyDescent="0.25">
      <c r="A16" s="14">
        <v>90</v>
      </c>
      <c r="B16" s="15">
        <f>1.59*2</f>
        <v>3.18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</row>
    <row r="17" spans="1:7" s="5" customFormat="1" ht="15.75" x14ac:dyDescent="0.25">
      <c r="A17" s="37">
        <v>100</v>
      </c>
      <c r="B17" s="38">
        <v>0</v>
      </c>
      <c r="C17" s="38">
        <v>0</v>
      </c>
      <c r="D17" s="40">
        <v>0</v>
      </c>
      <c r="E17" s="40">
        <v>0</v>
      </c>
      <c r="F17" s="38">
        <v>0</v>
      </c>
      <c r="G17" s="38">
        <v>0</v>
      </c>
    </row>
    <row r="18" spans="1:7" s="5" customFormat="1" ht="15.75" x14ac:dyDescent="0.25">
      <c r="A18" s="37">
        <v>105</v>
      </c>
      <c r="B18" s="38">
        <v>0</v>
      </c>
      <c r="C18" s="38">
        <v>0</v>
      </c>
      <c r="D18" s="40">
        <v>0</v>
      </c>
      <c r="E18" s="40">
        <v>0</v>
      </c>
      <c r="F18" s="38">
        <v>0</v>
      </c>
      <c r="G18" s="38">
        <v>0</v>
      </c>
    </row>
    <row r="19" spans="1:7" s="5" customFormat="1" ht="15.75" customHeight="1" x14ac:dyDescent="0.25">
      <c r="A19" s="37">
        <v>110</v>
      </c>
      <c r="B19" s="38">
        <v>0</v>
      </c>
      <c r="C19" s="38">
        <v>0</v>
      </c>
      <c r="D19" s="40">
        <v>0</v>
      </c>
      <c r="E19" s="40">
        <v>0</v>
      </c>
      <c r="F19" s="38">
        <v>0</v>
      </c>
      <c r="G19" s="38">
        <v>0</v>
      </c>
    </row>
    <row r="20" spans="1:7" s="5" customFormat="1" ht="15.75" thickBot="1" x14ac:dyDescent="0.25">
      <c r="A20" s="6"/>
    </row>
    <row r="21" spans="1:7" s="5" customFormat="1" ht="15.75" customHeight="1" thickBot="1" x14ac:dyDescent="0.3">
      <c r="A21" s="7" t="s">
        <v>6</v>
      </c>
      <c r="B21" s="8">
        <v>3</v>
      </c>
    </row>
    <row r="22" spans="1:7" s="5" customFormat="1" ht="16.5" thickBot="1" x14ac:dyDescent="0.25">
      <c r="A22" s="41" t="s">
        <v>7</v>
      </c>
      <c r="B22" s="43" t="s">
        <v>8</v>
      </c>
      <c r="C22" s="44"/>
      <c r="D22" s="44"/>
      <c r="E22" s="44"/>
      <c r="F22" s="44"/>
      <c r="G22" s="45"/>
    </row>
    <row r="23" spans="1:7" s="5" customFormat="1" ht="16.5" thickBot="1" x14ac:dyDescent="0.3">
      <c r="A23" s="46"/>
      <c r="B23" s="9">
        <v>1</v>
      </c>
      <c r="C23" s="9">
        <v>3</v>
      </c>
      <c r="D23" s="9">
        <v>6</v>
      </c>
      <c r="E23" s="10">
        <v>10</v>
      </c>
      <c r="F23" s="10">
        <v>25</v>
      </c>
      <c r="G23" s="10">
        <v>30</v>
      </c>
    </row>
    <row r="24" spans="1:7" s="5" customFormat="1" ht="15.75" x14ac:dyDescent="0.25">
      <c r="A24" s="37">
        <v>10</v>
      </c>
      <c r="B24" s="38">
        <v>0</v>
      </c>
      <c r="C24" s="38">
        <v>0</v>
      </c>
      <c r="D24" s="38">
        <v>0</v>
      </c>
      <c r="E24" s="40">
        <v>0</v>
      </c>
      <c r="F24" s="38">
        <v>0</v>
      </c>
      <c r="G24" s="38">
        <v>0</v>
      </c>
    </row>
    <row r="25" spans="1:7" s="5" customFormat="1" ht="15.75" x14ac:dyDescent="0.25">
      <c r="A25" s="11">
        <v>15</v>
      </c>
      <c r="B25" s="12">
        <f>0.47*2</f>
        <v>0.94</v>
      </c>
      <c r="C25" s="12">
        <f>0.49*2</f>
        <v>0.98</v>
      </c>
      <c r="D25" s="12">
        <f>0.51*2</f>
        <v>1.02</v>
      </c>
      <c r="E25" s="13">
        <v>0</v>
      </c>
      <c r="F25" s="13">
        <v>0</v>
      </c>
      <c r="G25" s="13">
        <v>0</v>
      </c>
    </row>
    <row r="26" spans="1:7" s="5" customFormat="1" ht="15.75" x14ac:dyDescent="0.25">
      <c r="A26" s="11">
        <v>30</v>
      </c>
      <c r="B26" s="12">
        <f>0.9*2</f>
        <v>1.8</v>
      </c>
      <c r="C26" s="12">
        <f>0.75*2</f>
        <v>1.5</v>
      </c>
      <c r="D26" s="12">
        <f>0.9*2</f>
        <v>1.8</v>
      </c>
      <c r="E26" s="13">
        <v>0</v>
      </c>
      <c r="F26" s="13">
        <v>0</v>
      </c>
      <c r="G26" s="13">
        <v>0</v>
      </c>
    </row>
    <row r="27" spans="1:7" s="5" customFormat="1" ht="15.75" x14ac:dyDescent="0.25">
      <c r="A27" s="11">
        <v>45</v>
      </c>
      <c r="B27" s="12">
        <f>1.21*2</f>
        <v>2.42</v>
      </c>
      <c r="C27" s="12">
        <f>1.1*2</f>
        <v>2.2000000000000002</v>
      </c>
      <c r="D27" s="12">
        <f>1.22*2</f>
        <v>2.44</v>
      </c>
      <c r="E27" s="13">
        <v>0</v>
      </c>
      <c r="F27" s="13">
        <v>0</v>
      </c>
      <c r="G27" s="13">
        <v>0</v>
      </c>
    </row>
    <row r="28" spans="1:7" s="5" customFormat="1" ht="15.75" x14ac:dyDescent="0.25">
      <c r="A28" s="11">
        <v>60</v>
      </c>
      <c r="B28" s="12">
        <f>1.62*2</f>
        <v>3.24</v>
      </c>
      <c r="C28" s="12">
        <f>1.55*2</f>
        <v>3.1</v>
      </c>
      <c r="D28" s="12">
        <f>1.77*2</f>
        <v>3.54</v>
      </c>
      <c r="E28" s="13">
        <v>0</v>
      </c>
      <c r="F28" s="13">
        <v>0</v>
      </c>
      <c r="G28" s="13">
        <v>0</v>
      </c>
    </row>
    <row r="29" spans="1:7" s="5" customFormat="1" ht="15.75" x14ac:dyDescent="0.25">
      <c r="A29" s="11">
        <v>75</v>
      </c>
      <c r="B29" s="12">
        <f>2.05*2</f>
        <v>4.0999999999999996</v>
      </c>
      <c r="C29" s="12">
        <f>2.04*2</f>
        <v>4.08</v>
      </c>
      <c r="D29" s="12">
        <f>2.43*2</f>
        <v>4.8600000000000003</v>
      </c>
      <c r="E29" s="13">
        <v>0</v>
      </c>
      <c r="F29" s="13">
        <v>0</v>
      </c>
      <c r="G29" s="13">
        <v>0</v>
      </c>
    </row>
    <row r="30" spans="1:7" s="5" customFormat="1" ht="15.75" x14ac:dyDescent="0.25">
      <c r="A30" s="14">
        <v>90</v>
      </c>
      <c r="B30" s="15">
        <f>2.44*2</f>
        <v>4.88</v>
      </c>
      <c r="C30" s="15">
        <f>2.56*2</f>
        <v>5.12</v>
      </c>
      <c r="D30" s="15">
        <f>3.21*2</f>
        <v>6.42</v>
      </c>
      <c r="E30" s="15">
        <v>0</v>
      </c>
      <c r="F30" s="15">
        <v>0</v>
      </c>
      <c r="G30" s="15">
        <v>0</v>
      </c>
    </row>
    <row r="31" spans="1:7" s="5" customFormat="1" ht="15.75" x14ac:dyDescent="0.25">
      <c r="A31" s="37">
        <v>100</v>
      </c>
      <c r="B31" s="38">
        <v>0</v>
      </c>
      <c r="C31" s="38">
        <v>0</v>
      </c>
      <c r="D31" s="40">
        <v>0</v>
      </c>
      <c r="E31" s="40">
        <v>0</v>
      </c>
      <c r="F31" s="38">
        <v>0</v>
      </c>
      <c r="G31" s="38">
        <v>0</v>
      </c>
    </row>
    <row r="32" spans="1:7" s="5" customFormat="1" ht="15.75" x14ac:dyDescent="0.25">
      <c r="A32" s="37">
        <v>105</v>
      </c>
      <c r="B32" s="38">
        <v>0</v>
      </c>
      <c r="C32" s="38">
        <v>0</v>
      </c>
      <c r="D32" s="40">
        <v>0</v>
      </c>
      <c r="E32" s="40">
        <v>0</v>
      </c>
      <c r="F32" s="38">
        <v>0</v>
      </c>
      <c r="G32" s="38">
        <v>0</v>
      </c>
    </row>
    <row r="33" spans="1:33" s="5" customFormat="1" ht="15.75" x14ac:dyDescent="0.25">
      <c r="A33" s="37">
        <v>110</v>
      </c>
      <c r="B33" s="38">
        <v>0</v>
      </c>
      <c r="C33" s="38">
        <v>0</v>
      </c>
      <c r="D33" s="40">
        <v>0</v>
      </c>
      <c r="E33" s="40">
        <v>0</v>
      </c>
      <c r="F33" s="38">
        <v>0</v>
      </c>
      <c r="G33" s="38">
        <v>0</v>
      </c>
    </row>
    <row r="34" spans="1:33" s="5" customFormat="1" ht="16.5" thickBot="1" x14ac:dyDescent="0.3">
      <c r="A34" s="3"/>
      <c r="B34" s="13"/>
      <c r="C34" s="13"/>
      <c r="D34" s="13"/>
      <c r="E34" s="13"/>
      <c r="F34" s="13"/>
      <c r="G34" s="13"/>
    </row>
    <row r="35" spans="1:33" s="5" customFormat="1" ht="16.5" thickBot="1" x14ac:dyDescent="0.3">
      <c r="A35" s="7" t="s">
        <v>6</v>
      </c>
      <c r="B35" s="8">
        <v>3.5</v>
      </c>
    </row>
    <row r="36" spans="1:33" s="16" customFormat="1" ht="16.5" thickBot="1" x14ac:dyDescent="0.25">
      <c r="A36" s="41" t="s">
        <v>7</v>
      </c>
      <c r="B36" s="43" t="s">
        <v>8</v>
      </c>
      <c r="C36" s="44"/>
      <c r="D36" s="44"/>
      <c r="E36" s="44"/>
      <c r="F36" s="44"/>
      <c r="G36" s="45"/>
    </row>
    <row r="37" spans="1:33" s="16" customFormat="1" ht="16.5" thickBot="1" x14ac:dyDescent="0.3">
      <c r="A37" s="42"/>
      <c r="B37" s="10">
        <v>1</v>
      </c>
      <c r="C37" s="9">
        <v>3</v>
      </c>
      <c r="D37" s="9">
        <v>6</v>
      </c>
      <c r="E37" s="10">
        <v>10</v>
      </c>
      <c r="F37" s="10">
        <v>25</v>
      </c>
      <c r="G37" s="10">
        <v>30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33" s="20" customFormat="1" ht="15.75" x14ac:dyDescent="0.25">
      <c r="A38" s="37">
        <v>10</v>
      </c>
      <c r="B38" s="38">
        <v>0</v>
      </c>
      <c r="C38" s="38">
        <v>0</v>
      </c>
      <c r="D38" s="38">
        <v>0</v>
      </c>
      <c r="E38" s="40">
        <v>0</v>
      </c>
      <c r="F38" s="38">
        <v>0</v>
      </c>
      <c r="G38" s="38">
        <v>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1:33" s="16" customFormat="1" ht="15.75" x14ac:dyDescent="0.25">
      <c r="A39" s="11">
        <v>15</v>
      </c>
      <c r="B39" s="13">
        <v>0</v>
      </c>
      <c r="C39" s="12">
        <f>0.63*2</f>
        <v>1.26</v>
      </c>
      <c r="D39" s="12">
        <f>0.54*2</f>
        <v>1.08</v>
      </c>
      <c r="E39" s="13">
        <v>0</v>
      </c>
      <c r="F39" s="13">
        <v>0</v>
      </c>
      <c r="G39" s="13">
        <v>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33" s="16" customFormat="1" ht="15.75" x14ac:dyDescent="0.25">
      <c r="A40" s="11">
        <v>30</v>
      </c>
      <c r="B40" s="13">
        <v>0</v>
      </c>
      <c r="C40" s="12">
        <f>0.85*2</f>
        <v>1.7</v>
      </c>
      <c r="D40" s="12">
        <f>0.81*2</f>
        <v>1.62</v>
      </c>
      <c r="E40" s="13">
        <v>0</v>
      </c>
      <c r="F40" s="13">
        <v>0</v>
      </c>
      <c r="G40" s="13">
        <v>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33" s="16" customFormat="1" ht="15.75" x14ac:dyDescent="0.25">
      <c r="A41" s="11">
        <v>45</v>
      </c>
      <c r="B41" s="13">
        <v>0</v>
      </c>
      <c r="C41" s="12">
        <f>1.22*2</f>
        <v>2.44</v>
      </c>
      <c r="D41" s="12">
        <f>1.36*2</f>
        <v>2.72</v>
      </c>
      <c r="E41" s="13">
        <v>0</v>
      </c>
      <c r="F41" s="13">
        <v>0</v>
      </c>
      <c r="G41" s="13">
        <v>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33" s="16" customFormat="1" ht="15.75" x14ac:dyDescent="0.25">
      <c r="A42" s="11">
        <v>60</v>
      </c>
      <c r="B42" s="13">
        <v>0</v>
      </c>
      <c r="C42" s="12">
        <f>1.71*2</f>
        <v>3.42</v>
      </c>
      <c r="D42" s="12">
        <f>1.8*2</f>
        <v>3.6</v>
      </c>
      <c r="E42" s="13">
        <v>0</v>
      </c>
      <c r="F42" s="13">
        <v>0</v>
      </c>
      <c r="G42" s="13">
        <v>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33" s="16" customFormat="1" ht="15.75" x14ac:dyDescent="0.25">
      <c r="A43" s="11">
        <v>75</v>
      </c>
      <c r="B43" s="13">
        <v>0</v>
      </c>
      <c r="C43" s="12">
        <f>2.29*2</f>
        <v>4.58</v>
      </c>
      <c r="D43" s="12">
        <f>2.67*2</f>
        <v>5.34</v>
      </c>
      <c r="E43" s="13">
        <v>0</v>
      </c>
      <c r="F43" s="13">
        <v>0</v>
      </c>
      <c r="G43" s="13">
        <v>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33" s="16" customFormat="1" ht="15.75" x14ac:dyDescent="0.25">
      <c r="A44" s="14">
        <v>90</v>
      </c>
      <c r="B44" s="15">
        <v>0</v>
      </c>
      <c r="C44" s="15">
        <f>2.88*2</f>
        <v>5.76</v>
      </c>
      <c r="D44" s="15">
        <f>3.54*2</f>
        <v>7.08</v>
      </c>
      <c r="E44" s="15">
        <v>0</v>
      </c>
      <c r="F44" s="15">
        <v>0</v>
      </c>
      <c r="G44" s="15">
        <v>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33" s="16" customFormat="1" ht="15.75" x14ac:dyDescent="0.25">
      <c r="A45" s="37">
        <v>100</v>
      </c>
      <c r="B45" s="38">
        <v>0</v>
      </c>
      <c r="C45" s="38">
        <v>0</v>
      </c>
      <c r="D45" s="40">
        <v>0</v>
      </c>
      <c r="E45" s="40">
        <v>0</v>
      </c>
      <c r="F45" s="38">
        <v>0</v>
      </c>
      <c r="G45" s="38">
        <v>0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33" ht="15.75" x14ac:dyDescent="0.25">
      <c r="A46" s="37">
        <v>105</v>
      </c>
      <c r="B46" s="38">
        <v>0</v>
      </c>
      <c r="C46" s="38">
        <v>0</v>
      </c>
      <c r="D46" s="40">
        <v>0</v>
      </c>
      <c r="E46" s="40">
        <v>0</v>
      </c>
      <c r="F46" s="38">
        <v>0</v>
      </c>
      <c r="G46" s="38">
        <v>0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33" ht="15.75" x14ac:dyDescent="0.25">
      <c r="A47" s="37">
        <v>110</v>
      </c>
      <c r="B47" s="38">
        <v>0</v>
      </c>
      <c r="C47" s="38">
        <v>0</v>
      </c>
      <c r="D47" s="40">
        <v>0</v>
      </c>
      <c r="E47" s="40">
        <v>0</v>
      </c>
      <c r="F47" s="38">
        <v>0</v>
      </c>
      <c r="G47" s="38">
        <v>0</v>
      </c>
      <c r="H47" s="34"/>
      <c r="I47" s="34"/>
      <c r="J47" s="34"/>
      <c r="K47" s="34"/>
      <c r="L47" s="34"/>
      <c r="M47" s="34"/>
      <c r="N47" s="16"/>
      <c r="O47" s="16"/>
      <c r="P47" s="16"/>
      <c r="Q47" s="16"/>
    </row>
    <row r="48" spans="1:33" ht="16.5" thickBot="1" x14ac:dyDescent="0.3">
      <c r="A48" s="1"/>
      <c r="B48" s="13"/>
      <c r="C48" s="13"/>
      <c r="D48" s="13"/>
      <c r="E48" s="13"/>
      <c r="F48" s="13"/>
      <c r="G48" s="13"/>
      <c r="H48" s="16"/>
      <c r="I48" s="16"/>
      <c r="J48" s="16"/>
      <c r="K48" s="16"/>
    </row>
    <row r="49" spans="1:17" ht="16.5" thickBot="1" x14ac:dyDescent="0.3">
      <c r="A49" s="7" t="s">
        <v>6</v>
      </c>
      <c r="B49" s="17">
        <v>5</v>
      </c>
      <c r="C49" s="5"/>
      <c r="D49" s="5"/>
      <c r="E49" s="5"/>
      <c r="F49" s="5"/>
      <c r="G49" s="5"/>
      <c r="H49" s="16"/>
      <c r="I49" s="16"/>
      <c r="J49" s="16"/>
    </row>
    <row r="50" spans="1:17" ht="16.5" thickBot="1" x14ac:dyDescent="0.3">
      <c r="A50" s="41" t="s">
        <v>7</v>
      </c>
      <c r="B50" s="43" t="s">
        <v>8</v>
      </c>
      <c r="C50" s="44"/>
      <c r="D50" s="44"/>
      <c r="E50" s="44"/>
      <c r="F50" s="44"/>
      <c r="G50" s="45"/>
      <c r="H50" s="16"/>
      <c r="I50" s="16"/>
      <c r="J50" s="16"/>
    </row>
    <row r="51" spans="1:17" ht="17.25" customHeight="1" thickBot="1" x14ac:dyDescent="0.3">
      <c r="A51" s="42"/>
      <c r="B51" s="10">
        <v>1</v>
      </c>
      <c r="C51" s="9">
        <v>3</v>
      </c>
      <c r="D51" s="9">
        <v>6</v>
      </c>
      <c r="E51" s="9">
        <v>10</v>
      </c>
      <c r="F51" s="10">
        <v>25</v>
      </c>
      <c r="G51" s="10">
        <v>30</v>
      </c>
      <c r="H51" s="21"/>
      <c r="I51" s="21"/>
      <c r="J51" s="21"/>
    </row>
    <row r="52" spans="1:17" ht="15.75" x14ac:dyDescent="0.25">
      <c r="A52" s="37">
        <v>10</v>
      </c>
      <c r="B52" s="38">
        <v>0</v>
      </c>
      <c r="C52" s="38">
        <v>0</v>
      </c>
      <c r="D52" s="38">
        <v>0</v>
      </c>
      <c r="E52" s="40">
        <v>0</v>
      </c>
      <c r="F52" s="38">
        <v>0</v>
      </c>
      <c r="G52" s="38">
        <v>0</v>
      </c>
      <c r="H52" s="10"/>
      <c r="I52" s="10"/>
      <c r="J52" s="10"/>
    </row>
    <row r="53" spans="1:17" ht="15.75" x14ac:dyDescent="0.25">
      <c r="A53" s="11">
        <v>15</v>
      </c>
      <c r="B53" s="13">
        <v>0</v>
      </c>
      <c r="C53" s="12">
        <f>0.79*2</f>
        <v>1.58</v>
      </c>
      <c r="D53" s="12">
        <f>0.51*2</f>
        <v>1.02</v>
      </c>
      <c r="E53" s="12">
        <f>0.3*2</f>
        <v>0.6</v>
      </c>
      <c r="F53" s="13">
        <v>0</v>
      </c>
      <c r="G53" s="13">
        <v>0</v>
      </c>
      <c r="H53" s="13"/>
      <c r="I53" s="13"/>
      <c r="J53" s="13"/>
    </row>
    <row r="54" spans="1:17" ht="15.75" x14ac:dyDescent="0.25">
      <c r="A54" s="11">
        <v>30</v>
      </c>
      <c r="B54" s="13">
        <v>0</v>
      </c>
      <c r="C54" s="12">
        <f>1.2*2</f>
        <v>2.4</v>
      </c>
      <c r="D54" s="12">
        <f>0.98*2</f>
        <v>1.96</v>
      </c>
      <c r="E54" s="12">
        <f>0.78*2</f>
        <v>1.56</v>
      </c>
      <c r="F54" s="13">
        <v>0</v>
      </c>
      <c r="G54" s="13">
        <v>0</v>
      </c>
      <c r="H54" s="13"/>
      <c r="I54" s="13"/>
      <c r="J54" s="13"/>
    </row>
    <row r="55" spans="1:17" ht="15.75" x14ac:dyDescent="0.25">
      <c r="A55" s="11">
        <v>45</v>
      </c>
      <c r="B55" s="13">
        <v>0</v>
      </c>
      <c r="C55" s="12">
        <f>1.66*2</f>
        <v>3.32</v>
      </c>
      <c r="D55" s="12">
        <f>1.45*2</f>
        <v>2.9</v>
      </c>
      <c r="E55" s="12">
        <f>1.35*2</f>
        <v>2.7</v>
      </c>
      <c r="F55" s="13">
        <v>0</v>
      </c>
      <c r="G55" s="13">
        <v>0</v>
      </c>
      <c r="H55" s="13"/>
      <c r="I55" s="13"/>
      <c r="J55" s="13"/>
    </row>
    <row r="56" spans="1:17" ht="15.75" x14ac:dyDescent="0.25">
      <c r="A56" s="11">
        <v>60</v>
      </c>
      <c r="B56" s="13">
        <v>0</v>
      </c>
      <c r="C56" s="12">
        <f>2.12*2</f>
        <v>4.24</v>
      </c>
      <c r="D56" s="12">
        <f>2.08*2</f>
        <v>4.16</v>
      </c>
      <c r="E56" s="12">
        <f>2.19*2</f>
        <v>4.38</v>
      </c>
      <c r="F56" s="13">
        <v>0</v>
      </c>
      <c r="G56" s="13">
        <v>0</v>
      </c>
      <c r="H56" s="13"/>
      <c r="I56" s="13"/>
      <c r="J56" s="13"/>
    </row>
    <row r="57" spans="1:17" s="33" customFormat="1" ht="15.75" x14ac:dyDescent="0.25">
      <c r="A57" s="11">
        <v>75</v>
      </c>
      <c r="B57" s="13">
        <v>0</v>
      </c>
      <c r="C57" s="12">
        <f>2.86*2</f>
        <v>5.72</v>
      </c>
      <c r="D57" s="12">
        <f>3.12*2</f>
        <v>6.24</v>
      </c>
      <c r="E57" s="12">
        <f>3.47*2</f>
        <v>6.94</v>
      </c>
      <c r="F57" s="13">
        <v>0</v>
      </c>
      <c r="G57" s="13">
        <v>0</v>
      </c>
      <c r="H57" s="38"/>
      <c r="I57" s="38"/>
      <c r="J57" s="38"/>
    </row>
    <row r="58" spans="1:17" s="33" customFormat="1" ht="15.75" x14ac:dyDescent="0.25">
      <c r="A58" s="14">
        <v>90</v>
      </c>
      <c r="B58" s="15">
        <v>0</v>
      </c>
      <c r="C58" s="15">
        <f>4.02*2</f>
        <v>8.0399999999999991</v>
      </c>
      <c r="D58" s="15">
        <f>4.54*2</f>
        <v>9.08</v>
      </c>
      <c r="E58" s="15">
        <f>5.38*2</f>
        <v>10.76</v>
      </c>
      <c r="F58" s="15">
        <v>0</v>
      </c>
      <c r="G58" s="15">
        <v>0</v>
      </c>
      <c r="H58" s="38"/>
      <c r="I58" s="38"/>
      <c r="J58" s="38"/>
    </row>
    <row r="59" spans="1:17" s="33" customFormat="1" ht="15.75" x14ac:dyDescent="0.25">
      <c r="A59" s="37">
        <v>100</v>
      </c>
      <c r="B59" s="38">
        <v>0</v>
      </c>
      <c r="C59" s="38">
        <v>0</v>
      </c>
      <c r="D59" s="40">
        <v>0</v>
      </c>
      <c r="E59" s="40">
        <v>0</v>
      </c>
      <c r="F59" s="38">
        <v>0</v>
      </c>
      <c r="G59" s="38">
        <v>0</v>
      </c>
      <c r="H59" s="38"/>
      <c r="I59" s="38"/>
      <c r="J59" s="38"/>
    </row>
    <row r="60" spans="1:17" s="33" customFormat="1" ht="15.75" x14ac:dyDescent="0.25">
      <c r="A60" s="37">
        <v>105</v>
      </c>
      <c r="B60" s="38">
        <v>0</v>
      </c>
      <c r="C60" s="38">
        <v>0</v>
      </c>
      <c r="D60" s="40">
        <v>0</v>
      </c>
      <c r="E60" s="40">
        <v>0</v>
      </c>
      <c r="F60" s="38">
        <v>0</v>
      </c>
      <c r="G60" s="38">
        <v>0</v>
      </c>
      <c r="H60" s="38"/>
      <c r="I60" s="38"/>
      <c r="J60" s="38"/>
    </row>
    <row r="61" spans="1:17" ht="15.75" x14ac:dyDescent="0.25">
      <c r="A61" s="37">
        <v>110</v>
      </c>
      <c r="B61" s="38">
        <v>0</v>
      </c>
      <c r="C61" s="38">
        <v>0</v>
      </c>
      <c r="D61" s="40">
        <v>0</v>
      </c>
      <c r="E61" s="40">
        <v>0</v>
      </c>
      <c r="F61" s="38">
        <v>0</v>
      </c>
      <c r="G61" s="38">
        <v>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ht="16.5" thickBot="1" x14ac:dyDescent="0.3">
      <c r="A62" s="1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ht="16.5" thickBot="1" x14ac:dyDescent="0.3">
      <c r="A63" s="35" t="s">
        <v>6</v>
      </c>
      <c r="B63" s="39">
        <v>6</v>
      </c>
      <c r="C63" s="34"/>
      <c r="D63" s="34"/>
      <c r="E63" s="34"/>
      <c r="F63" s="34"/>
      <c r="G63" s="34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17" ht="16.5" thickBot="1" x14ac:dyDescent="0.3">
      <c r="A64" s="41" t="s">
        <v>7</v>
      </c>
      <c r="B64" s="43" t="s">
        <v>8</v>
      </c>
      <c r="C64" s="44"/>
      <c r="D64" s="44"/>
      <c r="E64" s="44"/>
      <c r="F64" s="44"/>
      <c r="G64" s="45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1:17" ht="16.5" thickBot="1" x14ac:dyDescent="0.3">
      <c r="A65" s="42"/>
      <c r="B65" s="36">
        <v>1</v>
      </c>
      <c r="C65" s="36">
        <v>3</v>
      </c>
      <c r="D65" s="36">
        <v>6</v>
      </c>
      <c r="E65" s="9">
        <v>10</v>
      </c>
      <c r="F65" s="36">
        <v>25</v>
      </c>
      <c r="G65" s="36">
        <v>30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spans="1:17" ht="15.75" x14ac:dyDescent="0.25">
      <c r="A66" s="37">
        <v>10</v>
      </c>
      <c r="B66" s="38">
        <v>0</v>
      </c>
      <c r="C66" s="38">
        <v>0</v>
      </c>
      <c r="D66" s="38">
        <v>0</v>
      </c>
      <c r="E66" s="12">
        <v>0.48</v>
      </c>
      <c r="F66" s="38">
        <v>0</v>
      </c>
      <c r="G66" s="38">
        <v>0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</row>
    <row r="67" spans="1:17" ht="15.75" x14ac:dyDescent="0.25">
      <c r="A67" s="37">
        <v>15</v>
      </c>
      <c r="B67" s="38">
        <v>0</v>
      </c>
      <c r="C67" s="38">
        <v>0</v>
      </c>
      <c r="D67" s="38">
        <v>0</v>
      </c>
      <c r="E67" s="12">
        <v>0.84</v>
      </c>
      <c r="F67" s="38">
        <v>0</v>
      </c>
      <c r="G67" s="38">
        <v>0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ht="15.75" x14ac:dyDescent="0.25">
      <c r="A68" s="37">
        <v>30</v>
      </c>
      <c r="B68" s="38">
        <v>0</v>
      </c>
      <c r="C68" s="38">
        <v>0</v>
      </c>
      <c r="D68" s="38">
        <v>0</v>
      </c>
      <c r="E68" s="12">
        <v>1.92</v>
      </c>
      <c r="F68" s="38">
        <v>0</v>
      </c>
      <c r="G68" s="38">
        <v>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ht="15.75" x14ac:dyDescent="0.25">
      <c r="A69" s="37">
        <v>45</v>
      </c>
      <c r="B69" s="38">
        <v>0</v>
      </c>
      <c r="C69" s="38">
        <v>0</v>
      </c>
      <c r="D69" s="38">
        <v>0</v>
      </c>
      <c r="E69" s="12">
        <v>3.32</v>
      </c>
      <c r="F69" s="38">
        <v>0</v>
      </c>
      <c r="G69" s="38">
        <v>0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 ht="15.75" x14ac:dyDescent="0.25">
      <c r="A70" s="37">
        <v>60</v>
      </c>
      <c r="B70" s="38">
        <v>0</v>
      </c>
      <c r="C70" s="38">
        <v>0</v>
      </c>
      <c r="D70" s="38">
        <v>0</v>
      </c>
      <c r="E70" s="12">
        <v>5.2</v>
      </c>
      <c r="F70" s="38">
        <v>0</v>
      </c>
      <c r="G70" s="38">
        <v>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ht="15.75" x14ac:dyDescent="0.25">
      <c r="A71" s="37">
        <v>75</v>
      </c>
      <c r="B71" s="38">
        <v>0</v>
      </c>
      <c r="C71" s="38">
        <v>0</v>
      </c>
      <c r="D71" s="38">
        <v>0</v>
      </c>
      <c r="E71" s="12">
        <v>8.08</v>
      </c>
      <c r="F71" s="38">
        <v>0</v>
      </c>
      <c r="G71" s="38">
        <v>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 ht="15.75" x14ac:dyDescent="0.25">
      <c r="A72" s="14">
        <v>90</v>
      </c>
      <c r="B72" s="15">
        <v>0</v>
      </c>
      <c r="C72" s="15">
        <v>0</v>
      </c>
      <c r="D72" s="15">
        <v>0</v>
      </c>
      <c r="E72" s="15">
        <v>12.24</v>
      </c>
      <c r="F72" s="15">
        <v>0</v>
      </c>
      <c r="G72" s="15">
        <v>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ht="15.75" x14ac:dyDescent="0.25">
      <c r="A73" s="37">
        <v>100</v>
      </c>
      <c r="B73" s="38">
        <v>0</v>
      </c>
      <c r="C73" s="38">
        <v>0</v>
      </c>
      <c r="D73" s="40">
        <v>0</v>
      </c>
      <c r="E73" s="40">
        <v>0</v>
      </c>
      <c r="F73" s="38">
        <v>0</v>
      </c>
      <c r="G73" s="38">
        <v>0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ht="15.75" x14ac:dyDescent="0.25">
      <c r="A74" s="37">
        <v>105</v>
      </c>
      <c r="B74" s="38">
        <v>0</v>
      </c>
      <c r="C74" s="38">
        <v>0</v>
      </c>
      <c r="D74" s="40">
        <v>0</v>
      </c>
      <c r="E74" s="40">
        <v>0</v>
      </c>
      <c r="F74" s="38">
        <v>0</v>
      </c>
      <c r="G74" s="38">
        <v>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ht="15.75" x14ac:dyDescent="0.25">
      <c r="A75" s="37">
        <v>110</v>
      </c>
      <c r="B75" s="38">
        <v>0</v>
      </c>
      <c r="C75" s="38">
        <v>0</v>
      </c>
      <c r="D75" s="40">
        <v>0</v>
      </c>
      <c r="E75" s="40">
        <v>0</v>
      </c>
      <c r="F75" s="38">
        <v>0</v>
      </c>
      <c r="G75" s="38">
        <v>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ht="16.5" thickBot="1" x14ac:dyDescent="0.3">
      <c r="A76" s="37"/>
      <c r="B76" s="38"/>
      <c r="C76" s="38"/>
      <c r="D76" s="38"/>
      <c r="E76" s="38"/>
      <c r="F76" s="38"/>
      <c r="G76" s="38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ht="16.5" thickBot="1" x14ac:dyDescent="0.3">
      <c r="A77" s="7" t="s">
        <v>6</v>
      </c>
      <c r="B77" s="8">
        <v>10</v>
      </c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6.5" thickBot="1" x14ac:dyDescent="0.3">
      <c r="A78" s="41" t="s">
        <v>7</v>
      </c>
      <c r="B78" s="43" t="s">
        <v>8</v>
      </c>
      <c r="C78" s="44"/>
      <c r="D78" s="44"/>
      <c r="E78" s="44"/>
      <c r="F78" s="44"/>
      <c r="G78" s="45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1:17" ht="16.5" thickBot="1" x14ac:dyDescent="0.3">
      <c r="A79" s="47"/>
      <c r="B79" s="10">
        <v>1</v>
      </c>
      <c r="C79" s="10">
        <v>3</v>
      </c>
      <c r="D79" s="9">
        <v>6</v>
      </c>
      <c r="E79" s="9">
        <v>10</v>
      </c>
      <c r="F79" s="9">
        <v>25</v>
      </c>
      <c r="G79" s="9">
        <v>30</v>
      </c>
      <c r="H79" s="24"/>
      <c r="I79" s="31"/>
      <c r="J79" s="31"/>
      <c r="K79" s="31"/>
      <c r="L79" s="31"/>
      <c r="M79" s="31"/>
      <c r="N79" s="31"/>
      <c r="O79" s="31"/>
      <c r="P79" s="31"/>
      <c r="Q79" s="31"/>
    </row>
    <row r="80" spans="1:17" ht="15.75" x14ac:dyDescent="0.25">
      <c r="A80" s="11">
        <v>10</v>
      </c>
      <c r="B80" s="13">
        <v>0</v>
      </c>
      <c r="C80" s="13">
        <v>0</v>
      </c>
      <c r="D80" s="40">
        <v>0</v>
      </c>
      <c r="E80" s="12">
        <f>0.58*2</f>
        <v>1.1599999999999999</v>
      </c>
      <c r="F80" s="12">
        <v>0</v>
      </c>
      <c r="G80" s="12">
        <v>0</v>
      </c>
      <c r="H80" s="27"/>
      <c r="I80" s="21"/>
      <c r="J80" s="21"/>
      <c r="K80" s="21"/>
      <c r="L80" s="21"/>
      <c r="M80" s="21"/>
      <c r="N80" s="21"/>
      <c r="O80" s="21"/>
      <c r="P80" s="21"/>
      <c r="Q80" s="21"/>
    </row>
    <row r="81" spans="1:17" ht="15.75" x14ac:dyDescent="0.25">
      <c r="A81" s="11">
        <v>15</v>
      </c>
      <c r="B81" s="13">
        <v>0</v>
      </c>
      <c r="C81" s="13">
        <v>0</v>
      </c>
      <c r="D81" s="12">
        <f>0.8*2</f>
        <v>1.6</v>
      </c>
      <c r="E81" s="12">
        <f>0.87*2</f>
        <v>1.74</v>
      </c>
      <c r="F81" s="12">
        <f>1.22*2</f>
        <v>2.44</v>
      </c>
      <c r="G81" s="12">
        <f>0.8*2</f>
        <v>1.6</v>
      </c>
      <c r="H81" s="29"/>
      <c r="I81" s="32"/>
      <c r="J81" s="32"/>
      <c r="K81" s="32"/>
      <c r="L81" s="32"/>
      <c r="M81" s="32"/>
      <c r="N81" s="32"/>
      <c r="O81" s="32"/>
      <c r="P81" s="32"/>
      <c r="Q81" s="32"/>
    </row>
    <row r="82" spans="1:17" ht="15.75" x14ac:dyDescent="0.25">
      <c r="A82" s="11">
        <v>30</v>
      </c>
      <c r="B82" s="13">
        <v>0</v>
      </c>
      <c r="C82" s="13">
        <v>0</v>
      </c>
      <c r="D82" s="12">
        <f>1.7*2</f>
        <v>3.4</v>
      </c>
      <c r="E82" s="12">
        <f>1.64*2</f>
        <v>3.28</v>
      </c>
      <c r="F82" s="12">
        <f>1.65*2</f>
        <v>3.3</v>
      </c>
      <c r="G82" s="12">
        <f>1.79*2</f>
        <v>3.58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ht="15.75" x14ac:dyDescent="0.25">
      <c r="A83" s="11">
        <v>45</v>
      </c>
      <c r="B83" s="13">
        <v>0</v>
      </c>
      <c r="C83" s="13">
        <v>0</v>
      </c>
      <c r="D83" s="12">
        <f>2.7*2</f>
        <v>5.4</v>
      </c>
      <c r="E83" s="12">
        <f>2.69*2</f>
        <v>5.38</v>
      </c>
      <c r="F83" s="12">
        <f>2.7*2</f>
        <v>5.4</v>
      </c>
      <c r="G83" s="12">
        <f>3.05*2</f>
        <v>6.1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ht="15.75" x14ac:dyDescent="0.25">
      <c r="A84" s="11">
        <v>60</v>
      </c>
      <c r="B84" s="13">
        <v>0</v>
      </c>
      <c r="C84" s="13">
        <v>0</v>
      </c>
      <c r="D84" s="12">
        <f>4.5*2</f>
        <v>9</v>
      </c>
      <c r="E84" s="12">
        <f>4.08*2</f>
        <v>8.16</v>
      </c>
      <c r="F84" s="12">
        <f>5.64*2</f>
        <v>11.28</v>
      </c>
      <c r="G84" s="12">
        <f>4.87*2</f>
        <v>9.74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ht="15.75" x14ac:dyDescent="0.25">
      <c r="A85" s="11">
        <v>75</v>
      </c>
      <c r="B85" s="13">
        <v>0</v>
      </c>
      <c r="C85" s="13">
        <v>0</v>
      </c>
      <c r="D85" s="12">
        <f>5.93*2</f>
        <v>11.86</v>
      </c>
      <c r="E85" s="12">
        <f>6.21*2</f>
        <v>12.42</v>
      </c>
      <c r="F85" s="12">
        <f>8.57*2</f>
        <v>17.14</v>
      </c>
      <c r="G85" s="12">
        <f>7.72*2</f>
        <v>15.44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ht="15.75" x14ac:dyDescent="0.25">
      <c r="A86" s="14">
        <v>90</v>
      </c>
      <c r="B86" s="15">
        <v>0</v>
      </c>
      <c r="C86" s="15">
        <v>0</v>
      </c>
      <c r="D86" s="15">
        <f>8.42*2</f>
        <v>16.84</v>
      </c>
      <c r="E86" s="15">
        <f>8.76*2</f>
        <v>17.52</v>
      </c>
      <c r="F86" s="15">
        <f>11.5*2</f>
        <v>23</v>
      </c>
      <c r="G86" s="15">
        <f>12.68*2</f>
        <v>25.36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ht="15.75" x14ac:dyDescent="0.25">
      <c r="A87" s="11">
        <v>100</v>
      </c>
      <c r="B87" s="13">
        <v>0</v>
      </c>
      <c r="C87" s="13">
        <v>0</v>
      </c>
      <c r="D87" s="40">
        <v>0</v>
      </c>
      <c r="E87" s="12">
        <f>9.21*2</f>
        <v>18.420000000000002</v>
      </c>
      <c r="F87" s="13">
        <v>0</v>
      </c>
      <c r="G87" s="13">
        <v>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ht="15.75" x14ac:dyDescent="0.25">
      <c r="A88" s="11">
        <v>105</v>
      </c>
      <c r="B88" s="13">
        <v>0</v>
      </c>
      <c r="C88" s="13">
        <v>0</v>
      </c>
      <c r="D88" s="12">
        <f>2*11.68</f>
        <v>23.36</v>
      </c>
      <c r="E88" s="12">
        <v>25.54</v>
      </c>
      <c r="F88" s="13">
        <v>0</v>
      </c>
      <c r="G88" s="13">
        <v>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ht="15.75" x14ac:dyDescent="0.25">
      <c r="A89" s="11">
        <v>110</v>
      </c>
      <c r="B89" s="13">
        <v>0</v>
      </c>
      <c r="C89" s="13">
        <v>0</v>
      </c>
      <c r="D89" s="12">
        <f>2*13.21</f>
        <v>26.42</v>
      </c>
      <c r="E89" s="13">
        <v>0</v>
      </c>
      <c r="F89" s="13">
        <v>0</v>
      </c>
      <c r="G89" s="13">
        <v>0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ht="15.75" x14ac:dyDescent="0.25">
      <c r="A90" s="1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 ht="15.75" x14ac:dyDescent="0.25">
      <c r="A91" s="22"/>
      <c r="B91" s="23"/>
      <c r="C91" s="24"/>
      <c r="D91" s="24"/>
      <c r="E91" s="24"/>
      <c r="F91" s="24"/>
      <c r="G91" s="24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ht="15.75" x14ac:dyDescent="0.25">
      <c r="A92" s="25"/>
      <c r="B92" s="26"/>
      <c r="C92" s="26"/>
      <c r="D92" s="26"/>
      <c r="E92" s="26"/>
      <c r="F92" s="26"/>
      <c r="G92" s="26"/>
    </row>
    <row r="93" spans="1:17" ht="15.75" x14ac:dyDescent="0.25">
      <c r="A93" s="28"/>
      <c r="B93" s="29"/>
      <c r="C93" s="29"/>
      <c r="D93" s="29"/>
      <c r="E93" s="29"/>
      <c r="F93" s="29"/>
      <c r="G93" s="29"/>
    </row>
    <row r="94" spans="1:17" ht="15.75" x14ac:dyDescent="0.25">
      <c r="A94" s="30"/>
      <c r="B94" s="13"/>
      <c r="C94" s="13"/>
      <c r="D94" s="13"/>
      <c r="E94" s="13"/>
      <c r="F94" s="13"/>
      <c r="G94" s="13"/>
    </row>
    <row r="95" spans="1:17" ht="15.75" x14ac:dyDescent="0.25">
      <c r="A95" s="11"/>
      <c r="B95" s="13"/>
      <c r="C95" s="13"/>
      <c r="D95" s="13"/>
      <c r="E95" s="13"/>
      <c r="F95" s="13"/>
      <c r="G95" s="13"/>
    </row>
    <row r="96" spans="1:17" ht="15.75" x14ac:dyDescent="0.25">
      <c r="A96" s="11"/>
      <c r="B96" s="13"/>
      <c r="C96" s="13"/>
      <c r="D96" s="13"/>
      <c r="E96" s="13"/>
      <c r="F96" s="13"/>
      <c r="G96" s="13"/>
    </row>
    <row r="97" spans="1:7" ht="15.75" x14ac:dyDescent="0.25">
      <c r="A97" s="11"/>
      <c r="B97" s="13"/>
      <c r="C97" s="13"/>
      <c r="D97" s="13"/>
      <c r="E97" s="13"/>
      <c r="F97" s="13"/>
      <c r="G97" s="13"/>
    </row>
    <row r="98" spans="1:7" ht="15.75" x14ac:dyDescent="0.25">
      <c r="A98" s="11"/>
      <c r="B98" s="13"/>
      <c r="C98" s="13"/>
      <c r="D98" s="13"/>
      <c r="E98" s="13"/>
      <c r="F98" s="13"/>
      <c r="G98" s="13"/>
    </row>
    <row r="99" spans="1:7" ht="15.75" x14ac:dyDescent="0.25">
      <c r="A99" s="11"/>
      <c r="B99" s="13"/>
      <c r="C99" s="13"/>
      <c r="D99" s="13"/>
      <c r="E99" s="13"/>
      <c r="F99" s="13"/>
      <c r="G99" s="13"/>
    </row>
    <row r="100" spans="1:7" ht="15.75" x14ac:dyDescent="0.25">
      <c r="A100" s="11"/>
      <c r="B100" s="13"/>
      <c r="C100" s="13"/>
      <c r="D100" s="13"/>
      <c r="E100" s="13"/>
      <c r="F100" s="13"/>
      <c r="G100" s="13"/>
    </row>
    <row r="101" spans="1:7" ht="15.75" x14ac:dyDescent="0.25">
      <c r="A101" s="11"/>
      <c r="B101" s="13"/>
      <c r="C101" s="13"/>
      <c r="D101" s="13"/>
      <c r="E101" s="13"/>
      <c r="F101" s="13"/>
      <c r="G101" s="13"/>
    </row>
    <row r="102" spans="1:7" ht="15.75" x14ac:dyDescent="0.25">
      <c r="A102" s="11"/>
      <c r="B102" s="13"/>
      <c r="C102" s="13"/>
      <c r="D102" s="13"/>
      <c r="E102" s="13"/>
      <c r="F102" s="13"/>
      <c r="G102" s="13"/>
    </row>
    <row r="103" spans="1:7" ht="15.75" x14ac:dyDescent="0.25">
      <c r="A103" s="11"/>
      <c r="B103" s="13"/>
      <c r="C103" s="13"/>
      <c r="D103" s="13"/>
      <c r="E103" s="13"/>
      <c r="F103" s="13"/>
      <c r="G103" s="13"/>
    </row>
    <row r="104" spans="1:7" ht="15.75" x14ac:dyDescent="0.25">
      <c r="A104" s="11"/>
      <c r="B104" s="2"/>
      <c r="C104" s="1"/>
      <c r="D104" s="1"/>
      <c r="E104" s="1"/>
      <c r="F104" s="1"/>
      <c r="G104" s="1"/>
    </row>
    <row r="105" spans="1:7" ht="15.75" x14ac:dyDescent="0.25">
      <c r="A105" s="1"/>
      <c r="B105" s="22"/>
      <c r="C105" s="16"/>
      <c r="D105" s="16"/>
      <c r="E105" s="16"/>
      <c r="F105" s="16"/>
      <c r="G105" s="16"/>
    </row>
    <row r="106" spans="1:7" ht="15.75" x14ac:dyDescent="0.25">
      <c r="A106" s="22"/>
      <c r="B106" s="23"/>
      <c r="C106" s="24"/>
      <c r="D106" s="24"/>
      <c r="E106" s="24"/>
      <c r="F106" s="24"/>
      <c r="G106" s="24"/>
    </row>
    <row r="107" spans="1:7" ht="15.75" x14ac:dyDescent="0.25">
      <c r="A107" s="25"/>
      <c r="B107" s="26"/>
      <c r="C107" s="26"/>
      <c r="D107" s="26"/>
      <c r="E107" s="26"/>
      <c r="F107" s="26"/>
      <c r="G107" s="26"/>
    </row>
    <row r="108" spans="1:7" ht="15.75" x14ac:dyDescent="0.25">
      <c r="A108" s="48"/>
      <c r="B108" s="29"/>
      <c r="C108" s="29"/>
      <c r="D108" s="29"/>
      <c r="E108" s="29"/>
      <c r="F108" s="29"/>
      <c r="G108" s="29"/>
    </row>
    <row r="109" spans="1:7" ht="15.75" x14ac:dyDescent="0.25">
      <c r="A109" s="49"/>
      <c r="B109" s="13"/>
      <c r="C109" s="13"/>
      <c r="D109" s="13"/>
      <c r="E109" s="13"/>
      <c r="F109" s="13"/>
      <c r="G109" s="13"/>
    </row>
    <row r="110" spans="1:7" ht="15.75" x14ac:dyDescent="0.25">
      <c r="A110" s="11"/>
      <c r="B110" s="13"/>
      <c r="C110" s="13"/>
      <c r="D110" s="13"/>
      <c r="E110" s="13"/>
      <c r="F110" s="13"/>
      <c r="G110" s="13"/>
    </row>
    <row r="111" spans="1:7" ht="15.75" x14ac:dyDescent="0.25">
      <c r="A111" s="11"/>
      <c r="B111" s="13"/>
      <c r="C111" s="13"/>
      <c r="D111" s="13"/>
      <c r="E111" s="13"/>
      <c r="F111" s="13"/>
      <c r="G111" s="13"/>
    </row>
    <row r="112" spans="1:7" ht="15.75" x14ac:dyDescent="0.25">
      <c r="A112" s="11"/>
      <c r="B112" s="13"/>
      <c r="C112" s="13"/>
      <c r="D112" s="13"/>
      <c r="E112" s="13"/>
      <c r="F112" s="13"/>
      <c r="G112" s="13"/>
    </row>
    <row r="113" spans="1:7" ht="15.75" x14ac:dyDescent="0.25">
      <c r="A113" s="11"/>
      <c r="B113" s="13"/>
      <c r="C113" s="13"/>
      <c r="D113" s="13"/>
      <c r="E113" s="13"/>
      <c r="F113" s="13"/>
      <c r="G113" s="13"/>
    </row>
    <row r="114" spans="1:7" ht="15.75" x14ac:dyDescent="0.25">
      <c r="A114" s="11"/>
      <c r="B114" s="13"/>
      <c r="C114" s="13"/>
      <c r="D114" s="13"/>
      <c r="E114" s="13"/>
      <c r="F114" s="13"/>
      <c r="G114" s="13"/>
    </row>
    <row r="115" spans="1:7" ht="15.75" x14ac:dyDescent="0.25">
      <c r="A115" s="11"/>
      <c r="B115" s="13"/>
      <c r="C115" s="13"/>
      <c r="D115" s="13"/>
      <c r="E115" s="13"/>
      <c r="F115" s="13"/>
      <c r="G115" s="13"/>
    </row>
    <row r="116" spans="1:7" ht="15.75" x14ac:dyDescent="0.25">
      <c r="A116" s="11"/>
      <c r="B116" s="13"/>
      <c r="C116" s="13"/>
      <c r="D116" s="13"/>
      <c r="E116" s="13"/>
      <c r="F116" s="13"/>
      <c r="G116" s="13"/>
    </row>
    <row r="117" spans="1:7" ht="15.75" x14ac:dyDescent="0.25">
      <c r="A117" s="11"/>
      <c r="B117" s="13"/>
      <c r="C117" s="13"/>
      <c r="D117" s="13"/>
      <c r="E117" s="13"/>
      <c r="F117" s="13"/>
      <c r="G117" s="13"/>
    </row>
    <row r="118" spans="1:7" ht="15.75" x14ac:dyDescent="0.25">
      <c r="A118" s="11"/>
      <c r="B118" s="13"/>
      <c r="C118" s="13"/>
      <c r="D118" s="13"/>
      <c r="E118" s="13"/>
      <c r="F118" s="13"/>
      <c r="G118" s="13"/>
    </row>
    <row r="119" spans="1:7" ht="15.75" x14ac:dyDescent="0.25">
      <c r="A119" s="11"/>
    </row>
  </sheetData>
  <mergeCells count="13">
    <mergeCell ref="A50:A51"/>
    <mergeCell ref="B50:G50"/>
    <mergeCell ref="A78:A79"/>
    <mergeCell ref="B78:G78"/>
    <mergeCell ref="A108:A109"/>
    <mergeCell ref="A64:A65"/>
    <mergeCell ref="B64:G64"/>
    <mergeCell ref="A8:A9"/>
    <mergeCell ref="B8:G8"/>
    <mergeCell ref="A22:A23"/>
    <mergeCell ref="B22:G22"/>
    <mergeCell ref="A36:A37"/>
    <mergeCell ref="B36:G36"/>
  </mergeCells>
  <pageMargins left="0.7" right="0.7" top="0.75" bottom="0.75" header="0.3" footer="0.3"/>
  <ignoredErrors>
    <ignoredError sqref="C26:C27 E83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2021-06-16T18:32:27Z</dcterms:modified>
</cp:coreProperties>
</file>