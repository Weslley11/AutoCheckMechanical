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Q:\APPS\_NONSTD\WAU_PROJETOS\SW\Tabelas de Dobra\"/>
    </mc:Choice>
  </mc:AlternateContent>
  <bookViews>
    <workbookView xWindow="0" yWindow="75" windowWidth="13260" windowHeight="5775"/>
  </bookViews>
  <sheets>
    <sheet name="Sheet1" sheetId="1" r:id="rId1"/>
    <sheet name="Desconto Processos" sheetId="2" r:id="rId2"/>
    <sheet name="Acrescimo Tangente" sheetId="3" r:id="rId3"/>
  </sheets>
  <calcPr calcId="152511"/>
</workbook>
</file>

<file path=xl/calcChain.xml><?xml version="1.0" encoding="utf-8"?>
<calcChain xmlns="http://schemas.openxmlformats.org/spreadsheetml/2006/main">
  <c r="H61" i="1" l="1"/>
  <c r="H60" i="1"/>
  <c r="H59" i="1"/>
  <c r="H58" i="1"/>
  <c r="H57" i="1"/>
  <c r="H56" i="1"/>
  <c r="H55" i="1"/>
  <c r="H54" i="1"/>
  <c r="H53" i="1"/>
  <c r="H52" i="1"/>
  <c r="F47" i="1"/>
  <c r="F46" i="1"/>
  <c r="F45" i="1"/>
  <c r="F44" i="1"/>
  <c r="F43" i="1"/>
  <c r="F42" i="1"/>
  <c r="F41" i="1"/>
  <c r="F40" i="1"/>
  <c r="F39" i="1"/>
  <c r="F38" i="1"/>
  <c r="E33" i="1"/>
  <c r="E32" i="1"/>
  <c r="E31" i="1"/>
  <c r="E30" i="1"/>
  <c r="E29" i="1"/>
  <c r="E28" i="1"/>
  <c r="E27" i="1"/>
  <c r="E26" i="1"/>
  <c r="E25" i="1"/>
  <c r="E24" i="1"/>
  <c r="G19" i="1"/>
  <c r="G18" i="1"/>
  <c r="G17" i="1"/>
  <c r="G16" i="1"/>
  <c r="G15" i="1"/>
  <c r="G14" i="1"/>
  <c r="G13" i="1"/>
  <c r="G12" i="1"/>
  <c r="G11" i="1"/>
  <c r="G1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6" i="1"/>
  <c r="H55" i="3"/>
  <c r="H54" i="3"/>
  <c r="H53" i="3"/>
  <c r="H52" i="3"/>
  <c r="F41" i="3"/>
  <c r="F40" i="3"/>
  <c r="F39" i="3"/>
  <c r="F38" i="3"/>
  <c r="E27" i="3"/>
  <c r="E26" i="3"/>
  <c r="E25" i="3"/>
  <c r="E24" i="3"/>
  <c r="G13" i="3"/>
  <c r="G12" i="3"/>
  <c r="G11" i="3"/>
  <c r="G10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</calcChain>
</file>

<file path=xl/sharedStrings.xml><?xml version="1.0" encoding="utf-8"?>
<sst xmlns="http://schemas.openxmlformats.org/spreadsheetml/2006/main" count="39" uniqueCount="18">
  <si>
    <t>Unit:</t>
  </si>
  <si>
    <t>Millimeters</t>
  </si>
  <si>
    <t xml:space="preserve">Type: </t>
  </si>
  <si>
    <t>Bend Deduction</t>
  </si>
  <si>
    <t>Material:</t>
  </si>
  <si>
    <t>Thickness:</t>
  </si>
  <si>
    <t>Angle</t>
  </si>
  <si>
    <t>_INOX</t>
  </si>
  <si>
    <t>Radius</t>
  </si>
  <si>
    <t>ESPESSURA</t>
  </si>
  <si>
    <t xml:space="preserve">1.2 mm     </t>
  </si>
  <si>
    <t>1.5mm</t>
  </si>
  <si>
    <t>2.0mm</t>
  </si>
  <si>
    <t>3.0mm</t>
  </si>
  <si>
    <t>MATRIZ</t>
  </si>
  <si>
    <t>RAIO</t>
  </si>
  <si>
    <t>ÂNGULO ( b)</t>
  </si>
  <si>
    <t xml:space="preserve">ENCURTAMENTO  (∆L)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</si>
</sst>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6" formatCode="0.0"/>
  </numFmts>
  <fonts count="12" x14ac:knownFonts="1">
    <font>
      <sz val="10"/>
      <name val="Arial"/>
    </font>
    <font>
      <sz val="12"/>
      <color indexed="19"/>
      <name val="Arial"/>
      <family val="2"/>
    </font>
    <font>
      <b/>
      <sz val="12"/>
      <color indexed="10"/>
      <name val="Arial"/>
      <family val="2"/>
    </font>
    <font>
      <sz val="12"/>
      <color indexed="17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17"/>
      <name val="Arial"/>
      <family val="2"/>
    </font>
    <font>
      <b/>
      <sz val="12"/>
      <color indexed="19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3" fontId="2" fillId="0" borderId="0" xfId="0" applyNumberFormat="1" applyFont="1" applyAlignment="1">
      <alignment horizontal="center"/>
    </xf>
    <xf numFmtId="13" fontId="6" fillId="0" borderId="0" xfId="0" applyNumberFormat="1" applyFont="1" applyAlignment="1">
      <alignment horizontal="center"/>
    </xf>
    <xf numFmtId="0" fontId="2" fillId="0" borderId="0" xfId="0" applyFont="1"/>
    <xf numFmtId="13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 applyAlignment="1">
      <alignment horizontal="center"/>
    </xf>
    <xf numFmtId="0" fontId="0" fillId="0" borderId="0" xfId="0" applyFill="1"/>
    <xf numFmtId="0" fontId="0" fillId="0" borderId="0" xfId="0" applyBorder="1" applyAlignment="1">
      <alignment vertical="center"/>
    </xf>
    <xf numFmtId="164" fontId="10" fillId="0" borderId="0" xfId="0" applyNumberFormat="1" applyFont="1" applyAlignment="1">
      <alignment horizontal="center"/>
    </xf>
    <xf numFmtId="0" fontId="7" fillId="0" borderId="0" xfId="0" applyFont="1" applyFill="1" applyBorder="1" applyAlignment="1"/>
    <xf numFmtId="164" fontId="4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2" fillId="4" borderId="0" xfId="0" applyFont="1" applyFill="1"/>
    <xf numFmtId="0" fontId="6" fillId="2" borderId="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2" fontId="11" fillId="7" borderId="10" xfId="0" applyNumberFormat="1" applyFont="1" applyFill="1" applyBorder="1" applyAlignment="1">
      <alignment horizontal="center"/>
    </xf>
    <xf numFmtId="2" fontId="11" fillId="7" borderId="11" xfId="0" applyNumberFormat="1" applyFont="1" applyFill="1" applyBorder="1" applyAlignment="1">
      <alignment horizontal="center"/>
    </xf>
    <xf numFmtId="2" fontId="11" fillId="8" borderId="11" xfId="0" applyNumberFormat="1" applyFont="1" applyFill="1" applyBorder="1" applyAlignment="1">
      <alignment horizontal="center"/>
    </xf>
    <xf numFmtId="2" fontId="11" fillId="7" borderId="20" xfId="0" applyNumberFormat="1" applyFont="1" applyFill="1" applyBorder="1" applyAlignment="1">
      <alignment horizontal="center"/>
    </xf>
    <xf numFmtId="2" fontId="11" fillId="7" borderId="13" xfId="0" applyNumberFormat="1" applyFont="1" applyFill="1" applyBorder="1" applyAlignment="1">
      <alignment horizontal="center"/>
    </xf>
    <xf numFmtId="2" fontId="11" fillId="9" borderId="8" xfId="0" applyNumberFormat="1" applyFont="1" applyFill="1" applyBorder="1" applyAlignment="1">
      <alignment horizontal="center"/>
    </xf>
    <xf numFmtId="2" fontId="11" fillId="9" borderId="14" xfId="0" applyNumberFormat="1" applyFont="1" applyFill="1" applyBorder="1" applyAlignment="1">
      <alignment horizontal="center"/>
    </xf>
    <xf numFmtId="2" fontId="11" fillId="8" borderId="14" xfId="0" applyNumberFormat="1" applyFont="1" applyFill="1" applyBorder="1" applyAlignment="1">
      <alignment horizontal="center"/>
    </xf>
    <xf numFmtId="2" fontId="11" fillId="9" borderId="21" xfId="0" applyNumberFormat="1" applyFont="1" applyFill="1" applyBorder="1" applyAlignment="1">
      <alignment horizontal="center"/>
    </xf>
    <xf numFmtId="2" fontId="11" fillId="9" borderId="15" xfId="0" applyNumberFormat="1" applyFont="1" applyFill="1" applyBorder="1" applyAlignment="1">
      <alignment horizontal="center"/>
    </xf>
    <xf numFmtId="2" fontId="11" fillId="7" borderId="8" xfId="0" applyNumberFormat="1" applyFont="1" applyFill="1" applyBorder="1" applyAlignment="1">
      <alignment horizontal="center"/>
    </xf>
    <xf numFmtId="2" fontId="11" fillId="7" borderId="14" xfId="0" applyNumberFormat="1" applyFont="1" applyFill="1" applyBorder="1" applyAlignment="1">
      <alignment horizontal="center"/>
    </xf>
    <xf numFmtId="2" fontId="11" fillId="7" borderId="21" xfId="0" applyNumberFormat="1" applyFont="1" applyFill="1" applyBorder="1" applyAlignment="1">
      <alignment horizontal="center"/>
    </xf>
    <xf numFmtId="2" fontId="11" fillId="7" borderId="15" xfId="0" applyNumberFormat="1" applyFont="1" applyFill="1" applyBorder="1" applyAlignment="1">
      <alignment horizontal="center"/>
    </xf>
    <xf numFmtId="2" fontId="11" fillId="8" borderId="8" xfId="0" applyNumberFormat="1" applyFont="1" applyFill="1" applyBorder="1" applyAlignment="1">
      <alignment horizontal="center"/>
    </xf>
    <xf numFmtId="2" fontId="11" fillId="8" borderId="21" xfId="0" applyNumberFormat="1" applyFont="1" applyFill="1" applyBorder="1" applyAlignment="1">
      <alignment horizontal="center"/>
    </xf>
    <xf numFmtId="2" fontId="11" fillId="8" borderId="15" xfId="0" applyNumberFormat="1" applyFont="1" applyFill="1" applyBorder="1" applyAlignment="1">
      <alignment horizontal="center"/>
    </xf>
    <xf numFmtId="2" fontId="11" fillId="9" borderId="22" xfId="0" applyNumberFormat="1" applyFont="1" applyFill="1" applyBorder="1" applyAlignment="1">
      <alignment horizontal="center"/>
    </xf>
    <xf numFmtId="2" fontId="11" fillId="9" borderId="23" xfId="0" applyNumberFormat="1" applyFont="1" applyFill="1" applyBorder="1" applyAlignment="1">
      <alignment horizontal="center"/>
    </xf>
    <xf numFmtId="2" fontId="11" fillId="8" borderId="23" xfId="0" applyNumberFormat="1" applyFont="1" applyFill="1" applyBorder="1" applyAlignment="1">
      <alignment horizontal="center"/>
    </xf>
    <xf numFmtId="2" fontId="11" fillId="9" borderId="24" xfId="0" applyNumberFormat="1" applyFont="1" applyFill="1" applyBorder="1" applyAlignment="1">
      <alignment horizontal="center"/>
    </xf>
    <xf numFmtId="2" fontId="11" fillId="9" borderId="19" xfId="0" applyNumberFormat="1" applyFont="1" applyFill="1" applyBorder="1" applyAlignment="1">
      <alignment horizontal="center"/>
    </xf>
    <xf numFmtId="166" fontId="7" fillId="9" borderId="16" xfId="0" applyNumberFormat="1" applyFont="1" applyFill="1" applyBorder="1" applyAlignment="1">
      <alignment horizontal="center"/>
    </xf>
    <xf numFmtId="166" fontId="7" fillId="9" borderId="17" xfId="0" applyNumberFormat="1" applyFont="1" applyFill="1" applyBorder="1" applyAlignment="1">
      <alignment horizontal="center"/>
    </xf>
    <xf numFmtId="166" fontId="7" fillId="8" borderId="17" xfId="0" applyNumberFormat="1" applyFont="1" applyFill="1" applyBorder="1" applyAlignment="1">
      <alignment horizontal="center"/>
    </xf>
    <xf numFmtId="166" fontId="7" fillId="9" borderId="18" xfId="0" applyNumberFormat="1" applyFont="1" applyFill="1" applyBorder="1" applyAlignment="1">
      <alignment horizontal="center"/>
    </xf>
    <xf numFmtId="166" fontId="7" fillId="9" borderId="19" xfId="0" applyNumberFormat="1" applyFont="1" applyFill="1" applyBorder="1" applyAlignment="1">
      <alignment horizontal="center"/>
    </xf>
    <xf numFmtId="0" fontId="0" fillId="0" borderId="0" xfId="0" applyNumberFormat="1"/>
    <xf numFmtId="164" fontId="4" fillId="3" borderId="0" xfId="0" applyNumberFormat="1" applyFont="1" applyFill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/>
    </xf>
    <xf numFmtId="0" fontId="7" fillId="6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99FF99"/>
      <color rgb="FF99FF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1"/>
  <sheetViews>
    <sheetView tabSelected="1" zoomScale="85" zoomScaleNormal="85" workbookViewId="0">
      <selection activeCell="D6" sqref="D6"/>
    </sheetView>
  </sheetViews>
  <sheetFormatPr defaultRowHeight="12.75" x14ac:dyDescent="0.2"/>
  <cols>
    <col min="1" max="1" width="17" customWidth="1"/>
    <col min="2" max="8" width="9.85546875" customWidth="1"/>
    <col min="16" max="16" width="9.28515625" bestFit="1" customWidth="1"/>
  </cols>
  <sheetData>
    <row r="1" spans="1:41" s="1" customFormat="1" ht="15" x14ac:dyDescent="0.2">
      <c r="C1" s="2"/>
    </row>
    <row r="2" spans="1:41" s="5" customFormat="1" ht="14.25" customHeight="1" x14ac:dyDescent="0.25">
      <c r="A2" s="3" t="s">
        <v>0</v>
      </c>
      <c r="B2" s="4" t="s">
        <v>1</v>
      </c>
      <c r="D2" s="3"/>
      <c r="E2" s="3"/>
      <c r="F2" s="4"/>
      <c r="G2" s="4"/>
      <c r="I2" s="2"/>
      <c r="J2" s="13"/>
      <c r="K2" s="2"/>
      <c r="L2" s="2"/>
      <c r="M2" s="2"/>
      <c r="N2" s="2"/>
      <c r="O2" s="1"/>
    </row>
    <row r="3" spans="1:41" s="5" customFormat="1" ht="15.75" x14ac:dyDescent="0.25">
      <c r="A3" s="3" t="s">
        <v>2</v>
      </c>
      <c r="B3" s="4" t="s">
        <v>3</v>
      </c>
      <c r="D3" s="3"/>
      <c r="E3" s="3"/>
      <c r="F3" s="3"/>
      <c r="G3" s="3"/>
      <c r="H3" s="1"/>
      <c r="I3" s="2"/>
      <c r="J3" s="13"/>
      <c r="K3" s="2"/>
      <c r="L3" s="2"/>
      <c r="M3" s="2"/>
      <c r="N3" s="2"/>
      <c r="O3" s="2"/>
    </row>
    <row r="4" spans="1:41" s="5" customFormat="1" ht="15.75" x14ac:dyDescent="0.25">
      <c r="A4" s="3" t="s">
        <v>4</v>
      </c>
      <c r="B4" s="4" t="s">
        <v>7</v>
      </c>
    </row>
    <row r="5" spans="1:41" s="1" customFormat="1" ht="15" x14ac:dyDescent="0.2">
      <c r="C5" s="2"/>
    </row>
    <row r="6" spans="1:41" s="6" customFormat="1" ht="15.75" thickBot="1" x14ac:dyDescent="0.25">
      <c r="A6" s="7"/>
      <c r="B6" s="7"/>
      <c r="C6" s="16"/>
    </row>
    <row r="7" spans="1:41" s="5" customFormat="1" ht="16.5" thickBot="1" x14ac:dyDescent="0.3">
      <c r="A7" s="8" t="s">
        <v>5</v>
      </c>
      <c r="B7" s="22">
        <v>1.2</v>
      </c>
      <c r="C7" s="17"/>
    </row>
    <row r="8" spans="1:41" s="6" customFormat="1" ht="18" customHeight="1" thickBot="1" x14ac:dyDescent="0.3">
      <c r="A8" s="35" t="s">
        <v>6</v>
      </c>
      <c r="B8" s="37" t="s">
        <v>8</v>
      </c>
      <c r="C8" s="38"/>
      <c r="D8" s="38"/>
      <c r="E8" s="38"/>
      <c r="F8" s="38"/>
      <c r="G8" s="38"/>
      <c r="H8" s="39"/>
      <c r="I8" s="29"/>
      <c r="J8" s="29"/>
      <c r="K8" s="29"/>
      <c r="L8" s="29"/>
      <c r="M8" s="29"/>
      <c r="N8" s="29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41" s="10" customFormat="1" ht="16.5" thickBot="1" x14ac:dyDescent="0.3">
      <c r="A9" s="36"/>
      <c r="B9" s="33">
        <v>1.1000000000000001</v>
      </c>
      <c r="C9" s="33">
        <v>1.3</v>
      </c>
      <c r="D9" s="33">
        <v>1.6</v>
      </c>
      <c r="E9" s="33">
        <v>2</v>
      </c>
      <c r="F9" s="14">
        <v>2.4</v>
      </c>
      <c r="G9" s="33">
        <v>2.6</v>
      </c>
      <c r="H9" s="30">
        <v>3.8</v>
      </c>
      <c r="I9" s="14"/>
      <c r="J9" s="14"/>
      <c r="K9" s="14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</row>
    <row r="10" spans="1:41" s="10" customFormat="1" ht="15.75" x14ac:dyDescent="0.25">
      <c r="A10" s="11">
        <v>15</v>
      </c>
      <c r="B10" s="80">
        <f>2*(-1*INDEX('Desconto Processos'!$B$5:$F$32,MATCH(180-$A10,'Desconto Processos'!$A$5:$A$32,0),MATCH(B$9,'Desconto Processos'!$B$3:$F$3,0))+INDEX('Acrescimo Tangente'!$B$4:$H$13,MATCH($A10,$A$10:$A$19,0),MATCH(B$9,$B$9:$H$9,0)))</f>
        <v>0.2</v>
      </c>
      <c r="C10" s="32">
        <f>2*(-1*INDEX('Desconto Processos'!$B$5:$F$32,MATCH(180-$A10,'Desconto Processos'!$A$5:$A$32,0),MATCH(C$9,'Desconto Processos'!$B$3:$F$3,0))+INDEX('Acrescimo Tangente'!$B$4:$H$13,MATCH($A10,$A$10:$A$19,0),MATCH(C$9,$B$9:$H$9,0)))</f>
        <v>0.2</v>
      </c>
      <c r="D10" s="32">
        <f>2*(-1*INDEX('Desconto Processos'!$B$5:$F$32,MATCH(180-$A10,'Desconto Processos'!$A$5:$A$32,0),MATCH(D$9,'Desconto Processos'!$B$3:$F$3,0))+INDEX('Acrescimo Tangente'!$B$4:$H$13,MATCH($A10,$A$10:$A$19,0),MATCH(D$9,$B$9:$H$9,0)))</f>
        <v>0.2</v>
      </c>
      <c r="E10" s="32">
        <f>2*(-1*INDEX('Desconto Processos'!$B$5:$F$32,MATCH(180-$A10,'Desconto Processos'!$A$5:$A$32,0),MATCH(E$9,'Desconto Processos'!$B$3:$F$3,0))+INDEX('Acrescimo Tangente'!$B$4:$H$13,MATCH($A10,$A$10:$A$19,0),MATCH(E$9,$B$9:$H$9,0)))</f>
        <v>0.2</v>
      </c>
      <c r="F10" s="15">
        <v>0</v>
      </c>
      <c r="G10" s="32">
        <f>2*(-1*INDEX('Desconto Processos'!$B$5:$F$32,MATCH(180-$A10,'Desconto Processos'!$A$5:$A$32,0),MATCH(G$9,'Desconto Processos'!$B$3:$F$3,0))+INDEX('Acrescimo Tangente'!$B$4:$H$13,MATCH($A10,$A$10:$A$19,0),MATCH(G$9,$B$9:$H$9,0)))</f>
        <v>0.2</v>
      </c>
      <c r="H10" s="15">
        <v>0</v>
      </c>
      <c r="I10" s="14"/>
      <c r="J10" s="14"/>
      <c r="K10" s="14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s="6" customFormat="1" ht="15.75" x14ac:dyDescent="0.25">
      <c r="A11" s="11">
        <v>30</v>
      </c>
      <c r="B11" s="32">
        <f>2*(-1*INDEX('Desconto Processos'!$B$5:$F$32,MATCH(180-$A11,'Desconto Processos'!$A$5:$A$32,0),MATCH(B$9,'Desconto Processos'!$B$3:$F$3,0))+INDEX('Acrescimo Tangente'!$B$4:$H$13,MATCH($A11,$A$10:$A$19,0),MATCH(B$9,$B$9:$H$9,0)))</f>
        <v>0.5</v>
      </c>
      <c r="C11" s="32">
        <f>2*(-1*INDEX('Desconto Processos'!$B$5:$F$32,MATCH(180-$A11,'Desconto Processos'!$A$5:$A$32,0),MATCH(C$9,'Desconto Processos'!$B$3:$F$3,0))+INDEX('Acrescimo Tangente'!$B$4:$H$13,MATCH($A11,$A$10:$A$19,0),MATCH(C$9,$B$9:$H$9,0)))</f>
        <v>0.5</v>
      </c>
      <c r="D11" s="32">
        <f>2*(-1*INDEX('Desconto Processos'!$B$5:$F$32,MATCH(180-$A11,'Desconto Processos'!$A$5:$A$32,0),MATCH(D$9,'Desconto Processos'!$B$3:$F$3,0))+INDEX('Acrescimo Tangente'!$B$4:$H$13,MATCH($A11,$A$10:$A$19,0),MATCH(D$9,$B$9:$H$9,0)))</f>
        <v>0.4</v>
      </c>
      <c r="E11" s="32">
        <f>2*(-1*INDEX('Desconto Processos'!$B$5:$F$32,MATCH(180-$A11,'Desconto Processos'!$A$5:$A$32,0),MATCH(E$9,'Desconto Processos'!$B$3:$F$3,0))+INDEX('Acrescimo Tangente'!$B$4:$H$13,MATCH($A11,$A$10:$A$19,0),MATCH(E$9,$B$9:$H$9,0)))</f>
        <v>0.4</v>
      </c>
      <c r="F11" s="15">
        <v>0</v>
      </c>
      <c r="G11" s="32">
        <f>2*(-1*INDEX('Desconto Processos'!$B$5:$F$32,MATCH(180-$A11,'Desconto Processos'!$A$5:$A$32,0),MATCH(G$9,'Desconto Processos'!$B$3:$F$3,0))+INDEX('Acrescimo Tangente'!$B$4:$H$13,MATCH($A11,$A$10:$A$19,0),MATCH(G$9,$B$9:$H$9,0)))</f>
        <v>0.4</v>
      </c>
      <c r="H11" s="15">
        <v>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41" s="6" customFormat="1" ht="15.75" x14ac:dyDescent="0.25">
      <c r="A12" s="11">
        <v>45</v>
      </c>
      <c r="B12" s="32">
        <f>2*(-1*INDEX('Desconto Processos'!$B$5:$F$32,MATCH(180-$A12,'Desconto Processos'!$A$5:$A$32,0),MATCH(B$9,'Desconto Processos'!$B$3:$F$3,0))+INDEX('Acrescimo Tangente'!$B$4:$H$13,MATCH($A12,$A$10:$A$19,0),MATCH(B$9,$B$9:$H$9,0)))</f>
        <v>0.8</v>
      </c>
      <c r="C12" s="32">
        <f>2*(-1*INDEX('Desconto Processos'!$B$5:$F$32,MATCH(180-$A12,'Desconto Processos'!$A$5:$A$32,0),MATCH(C$9,'Desconto Processos'!$B$3:$F$3,0))+INDEX('Acrescimo Tangente'!$B$4:$H$13,MATCH($A12,$A$10:$A$19,0),MATCH(C$9,$B$9:$H$9,0)))</f>
        <v>0.7</v>
      </c>
      <c r="D12" s="32">
        <f>2*(-1*INDEX('Desconto Processos'!$B$5:$F$32,MATCH(180-$A12,'Desconto Processos'!$A$5:$A$32,0),MATCH(D$9,'Desconto Processos'!$B$3:$F$3,0))+INDEX('Acrescimo Tangente'!$B$4:$H$13,MATCH($A12,$A$10:$A$19,0),MATCH(D$9,$B$9:$H$9,0)))</f>
        <v>0.7</v>
      </c>
      <c r="E12" s="32">
        <f>2*(-1*INDEX('Desconto Processos'!$B$5:$F$32,MATCH(180-$A12,'Desconto Processos'!$A$5:$A$32,0),MATCH(E$9,'Desconto Processos'!$B$3:$F$3,0))+INDEX('Acrescimo Tangente'!$B$4:$H$13,MATCH($A12,$A$10:$A$19,0),MATCH(E$9,$B$9:$H$9,0)))</f>
        <v>0.7</v>
      </c>
      <c r="F12" s="15">
        <v>0</v>
      </c>
      <c r="G12" s="32">
        <f>2*(-1*INDEX('Desconto Processos'!$B$5:$F$32,MATCH(180-$A12,'Desconto Processos'!$A$5:$A$32,0),MATCH(G$9,'Desconto Processos'!$B$3:$F$3,0))+INDEX('Acrescimo Tangente'!$B$4:$H$13,MATCH($A12,$A$10:$A$19,0),MATCH(G$9,$B$9:$H$9,0)))</f>
        <v>0.7</v>
      </c>
      <c r="H12" s="15">
        <v>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41" s="6" customFormat="1" ht="15.75" x14ac:dyDescent="0.25">
      <c r="A13" s="11">
        <v>60</v>
      </c>
      <c r="B13" s="32">
        <f>2*(-1*INDEX('Desconto Processos'!$B$5:$F$32,MATCH(180-$A13,'Desconto Processos'!$A$5:$A$32,0),MATCH(B$9,'Desconto Processos'!$B$3:$F$3,0))+INDEX('Acrescimo Tangente'!$B$4:$H$13,MATCH($A13,$A$10:$A$19,0),MATCH(B$9,$B$9:$H$9,0)))</f>
        <v>1.1000000000000001</v>
      </c>
      <c r="C13" s="32">
        <f>2*(-1*INDEX('Desconto Processos'!$B$5:$F$32,MATCH(180-$A13,'Desconto Processos'!$A$5:$A$32,0),MATCH(C$9,'Desconto Processos'!$B$3:$F$3,0))+INDEX('Acrescimo Tangente'!$B$4:$H$13,MATCH($A13,$A$10:$A$19,0),MATCH(C$9,$B$9:$H$9,0)))</f>
        <v>1.1000000000000001</v>
      </c>
      <c r="D13" s="32">
        <f>2*(-1*INDEX('Desconto Processos'!$B$5:$F$32,MATCH(180-$A13,'Desconto Processos'!$A$5:$A$32,0),MATCH(D$9,'Desconto Processos'!$B$3:$F$3,0))+INDEX('Acrescimo Tangente'!$B$4:$H$13,MATCH($A13,$A$10:$A$19,0),MATCH(D$9,$B$9:$H$9,0)))</f>
        <v>1.1000000000000001</v>
      </c>
      <c r="E13" s="32">
        <f>2*(-1*INDEX('Desconto Processos'!$B$5:$F$32,MATCH(180-$A13,'Desconto Processos'!$A$5:$A$32,0),MATCH(E$9,'Desconto Processos'!$B$3:$F$3,0))+INDEX('Acrescimo Tangente'!$B$4:$H$13,MATCH($A13,$A$10:$A$19,0),MATCH(E$9,$B$9:$H$9,0)))</f>
        <v>1.1000000000000001</v>
      </c>
      <c r="F13" s="15">
        <v>0</v>
      </c>
      <c r="G13" s="32">
        <f>2*(-1*INDEX('Desconto Processos'!$B$5:$F$32,MATCH(180-$A13,'Desconto Processos'!$A$5:$A$32,0),MATCH(G$9,'Desconto Processos'!$B$3:$F$3,0))+INDEX('Acrescimo Tangente'!$B$4:$H$13,MATCH($A13,$A$10:$A$19,0),MATCH(G$9,$B$9:$H$9,0)))</f>
        <v>1.2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24"/>
      <c r="T13" s="24"/>
      <c r="U13" s="24"/>
      <c r="V13" s="24"/>
      <c r="W13" s="24"/>
      <c r="X13" s="24"/>
      <c r="Y13" s="24"/>
      <c r="Z13" s="25"/>
      <c r="AA13" s="25"/>
      <c r="AB13" s="25"/>
    </row>
    <row r="14" spans="1:41" s="6" customFormat="1" ht="15.75" x14ac:dyDescent="0.25">
      <c r="A14" s="11">
        <v>75</v>
      </c>
      <c r="B14" s="32">
        <f>2*(-1*INDEX('Desconto Processos'!$B$5:$F$32,MATCH(180-$A14,'Desconto Processos'!$A$5:$A$32,0),MATCH(B$9,'Desconto Processos'!$B$3:$F$3,0))+INDEX('Acrescimo Tangente'!$B$4:$H$13,MATCH($A14,$A$10:$A$19,0),MATCH(B$9,$B$9:$H$9,0)))</f>
        <v>1.6</v>
      </c>
      <c r="C14" s="32">
        <f>2*(-1*INDEX('Desconto Processos'!$B$5:$F$32,MATCH(180-$A14,'Desconto Processos'!$A$5:$A$32,0),MATCH(C$9,'Desconto Processos'!$B$3:$F$3,0))+INDEX('Acrescimo Tangente'!$B$4:$H$13,MATCH($A14,$A$10:$A$19,0),MATCH(C$9,$B$9:$H$9,0)))</f>
        <v>1.6</v>
      </c>
      <c r="D14" s="32">
        <f>2*(-1*INDEX('Desconto Processos'!$B$5:$F$32,MATCH(180-$A14,'Desconto Processos'!$A$5:$A$32,0),MATCH(D$9,'Desconto Processos'!$B$3:$F$3,0))+INDEX('Acrescimo Tangente'!$B$4:$H$13,MATCH($A14,$A$10:$A$19,0),MATCH(D$9,$B$9:$H$9,0)))</f>
        <v>1.6</v>
      </c>
      <c r="E14" s="32">
        <f>2*(-1*INDEX('Desconto Processos'!$B$5:$F$32,MATCH(180-$A14,'Desconto Processos'!$A$5:$A$32,0),MATCH(E$9,'Desconto Processos'!$B$3:$F$3,0))+INDEX('Acrescimo Tangente'!$B$4:$H$13,MATCH($A14,$A$10:$A$19,0),MATCH(E$9,$B$9:$H$9,0)))</f>
        <v>1.7</v>
      </c>
      <c r="F14" s="15">
        <v>0</v>
      </c>
      <c r="G14" s="32">
        <f>2*(-1*INDEX('Desconto Processos'!$B$5:$F$32,MATCH(180-$A14,'Desconto Processos'!$A$5:$A$32,0),MATCH(G$9,'Desconto Processos'!$B$3:$F$3,0))+INDEX('Acrescimo Tangente'!$B$4:$H$13,MATCH($A14,$A$10:$A$19,0),MATCH(G$9,$B$9:$H$9,0)))</f>
        <v>1.7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24"/>
      <c r="T14" s="26"/>
      <c r="U14" s="24"/>
      <c r="V14" s="24"/>
      <c r="W14" s="24"/>
      <c r="X14" s="24"/>
      <c r="Y14" s="24"/>
      <c r="Z14" s="25"/>
      <c r="AA14" s="25"/>
      <c r="AB14" s="25"/>
    </row>
    <row r="15" spans="1:41" s="6" customFormat="1" ht="15.75" x14ac:dyDescent="0.25">
      <c r="A15" s="34">
        <v>90</v>
      </c>
      <c r="B15" s="23">
        <f>2*(-1*INDEX('Desconto Processos'!$B$5:$F$32,MATCH(180-$A15,'Desconto Processos'!$A$5:$A$32,0),MATCH(B$9,'Desconto Processos'!$B$3:$F$3,0))+INDEX('Acrescimo Tangente'!$B$4:$H$13,MATCH($A15,$A$10:$A$19,0),MATCH(B$9,$B$9:$H$9,0)))</f>
        <v>2.4</v>
      </c>
      <c r="C15" s="23">
        <f>2*(-1*INDEX('Desconto Processos'!$B$5:$F$32,MATCH(180-$A15,'Desconto Processos'!$A$5:$A$32,0),MATCH(C$9,'Desconto Processos'!$B$3:$F$3,0))+INDEX('Acrescimo Tangente'!$B$4:$H$13,MATCH($A15,$A$10:$A$19,0),MATCH(C$9,$B$9:$H$9,0)))</f>
        <v>2.4</v>
      </c>
      <c r="D15" s="23">
        <f>2*(-1*INDEX('Desconto Processos'!$B$5:$F$32,MATCH(180-$A15,'Desconto Processos'!$A$5:$A$32,0),MATCH(D$9,'Desconto Processos'!$B$3:$F$3,0))+INDEX('Acrescimo Tangente'!$B$4:$H$13,MATCH($A15,$A$10:$A$19,0),MATCH(D$9,$B$9:$H$9,0)))</f>
        <v>2.6</v>
      </c>
      <c r="E15" s="23">
        <f>2*(-1*INDEX('Desconto Processos'!$B$5:$F$32,MATCH(180-$A15,'Desconto Processos'!$A$5:$A$32,0),MATCH(E$9,'Desconto Processos'!$B$3:$F$3,0))+INDEX('Acrescimo Tangente'!$B$4:$H$13,MATCH($A15,$A$10:$A$19,0),MATCH(E$9,$B$9:$H$9,0)))</f>
        <v>2.7</v>
      </c>
      <c r="F15" s="23">
        <v>0</v>
      </c>
      <c r="G15" s="23">
        <f>2*(-1*INDEX('Desconto Processos'!$B$5:$F$32,MATCH(180-$A15,'Desconto Processos'!$A$5:$A$32,0),MATCH(G$9,'Desconto Processos'!$B$3:$F$3,0))+INDEX('Acrescimo Tangente'!$B$4:$H$13,MATCH($A15,$A$10:$A$19,0),MATCH(G$9,$B$9:$H$9,0)))</f>
        <v>2.8</v>
      </c>
      <c r="H15" s="23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24"/>
      <c r="T15" s="26"/>
      <c r="U15" s="24"/>
      <c r="V15" s="24"/>
      <c r="W15" s="24"/>
      <c r="X15" s="24"/>
      <c r="Y15" s="24"/>
      <c r="Z15" s="25"/>
      <c r="AA15" s="25"/>
      <c r="AB15" s="25"/>
    </row>
    <row r="16" spans="1:41" s="6" customFormat="1" ht="15.75" x14ac:dyDescent="0.25">
      <c r="A16" s="11">
        <v>105</v>
      </c>
      <c r="B16" s="32">
        <f>2*(-1*INDEX('Desconto Processos'!$B$5:$F$32,MATCH(180-$A16,'Desconto Processos'!$A$5:$A$32,0),MATCH(B$9,'Desconto Processos'!$B$3:$F$3,0))+INDEX('Acrescimo Tangente'!$B$4:$H$13,MATCH($A16,$A$10:$A$19,0),MATCH(B$9,$B$9:$H$9,0)))</f>
        <v>3.4948367150695461</v>
      </c>
      <c r="C16" s="32">
        <f>2*(-1*INDEX('Desconto Processos'!$B$5:$F$32,MATCH(180-$A16,'Desconto Processos'!$A$5:$A$32,0),MATCH(C$9,'Desconto Processos'!$B$3:$F$3,0))+INDEX('Acrescimo Tangente'!$B$4:$H$13,MATCH($A16,$A$10:$A$19,0),MATCH(C$9,$B$9:$H$9,0)))</f>
        <v>3.6161268642060289</v>
      </c>
      <c r="D16" s="32">
        <f>2*(-1*INDEX('Desconto Processos'!$B$5:$F$32,MATCH(180-$A16,'Desconto Processos'!$A$5:$A$32,0),MATCH(D$9,'Desconto Processos'!$B$3:$F$3,0))+INDEX('Acrescimo Tangente'!$B$4:$H$13,MATCH($A16,$A$10:$A$19,0),MATCH(D$9,$B$9:$H$9,0)))</f>
        <v>3.7980620879107523</v>
      </c>
      <c r="E16" s="32">
        <f>2*(-1*INDEX('Desconto Processos'!$B$5:$F$32,MATCH(180-$A16,'Desconto Processos'!$A$5:$A$32,0),MATCH(E$9,'Desconto Processos'!$B$3:$F$3,0))+INDEX('Acrescimo Tangente'!$B$4:$H$13,MATCH($A16,$A$10:$A$19,0),MATCH(E$9,$B$9:$H$9,0)))</f>
        <v>4.0406423861837162</v>
      </c>
      <c r="F16" s="15">
        <v>0</v>
      </c>
      <c r="G16" s="32">
        <f>2*(-1*INDEX('Desconto Processos'!$B$5:$F$32,MATCH(180-$A16,'Desconto Processos'!$A$5:$A$32,0),MATCH(G$9,'Desconto Processos'!$B$3:$F$3,0))+INDEX('Acrescimo Tangente'!$B$4:$H$13,MATCH($A16,$A$10:$A$19,0),MATCH(G$9,$B$9:$H$9,0)))</f>
        <v>4.4045128335931629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24"/>
      <c r="T16" s="26"/>
      <c r="U16" s="24"/>
      <c r="V16" s="24"/>
      <c r="W16" s="24"/>
      <c r="X16" s="24"/>
      <c r="Y16" s="24"/>
      <c r="Z16" s="25"/>
      <c r="AA16" s="25"/>
      <c r="AB16" s="25"/>
    </row>
    <row r="17" spans="1:28" s="6" customFormat="1" ht="15.75" x14ac:dyDescent="0.25">
      <c r="A17" s="11">
        <v>120</v>
      </c>
      <c r="B17" s="32">
        <f>2*(-1*INDEX('Desconto Processos'!$B$5:$F$32,MATCH(180-$A17,'Desconto Processos'!$A$5:$A$32,0),MATCH(B$9,'Desconto Processos'!$B$3:$F$3,0))+INDEX('Acrescimo Tangente'!$B$4:$H$13,MATCH($A17,$A$10:$A$19,0),MATCH(B$9,$B$9:$H$9,0)))</f>
        <v>4.8674337148168361</v>
      </c>
      <c r="C17" s="32">
        <f>2*(-1*INDEX('Desconto Processos'!$B$5:$F$32,MATCH(180-$A17,'Desconto Processos'!$A$5:$A$32,0),MATCH(C$9,'Desconto Processos'!$B$3:$F$3,0))+INDEX('Acrescimo Tangente'!$B$4:$H$13,MATCH($A17,$A$10:$A$19,0),MATCH(C$9,$B$9:$H$9,0)))</f>
        <v>5.0602540378443868</v>
      </c>
      <c r="D17" s="32">
        <f>2*(-1*INDEX('Desconto Processos'!$B$5:$F$32,MATCH(180-$A17,'Desconto Processos'!$A$5:$A$32,0),MATCH(D$9,'Desconto Processos'!$B$3:$F$3,0))+INDEX('Acrescimo Tangente'!$B$4:$H$13,MATCH($A17,$A$10:$A$19,0),MATCH(D$9,$B$9:$H$9,0)))</f>
        <v>5.4994845223857123</v>
      </c>
      <c r="E17" s="32">
        <f>2*(-1*INDEX('Desconto Processos'!$B$5:$F$32,MATCH(180-$A17,'Desconto Processos'!$A$5:$A$32,0),MATCH(E$9,'Desconto Processos'!$B$3:$F$3,0))+INDEX('Acrescimo Tangente'!$B$4:$H$13,MATCH($A17,$A$10:$A$19,0),MATCH(E$9,$B$9:$H$9,0)))</f>
        <v>5.985125168440816</v>
      </c>
      <c r="F17" s="15">
        <v>0</v>
      </c>
      <c r="G17" s="32">
        <f>2*(-1*INDEX('Desconto Processos'!$B$5:$F$32,MATCH(180-$A17,'Desconto Processos'!$A$5:$A$32,0),MATCH(G$9,'Desconto Processos'!$B$3:$F$3,0))+INDEX('Acrescimo Tangente'!$B$4:$H$13,MATCH($A17,$A$10:$A$19,0),MATCH(G$9,$B$9:$H$9,0)))</f>
        <v>6.6635861375234686</v>
      </c>
      <c r="H17" s="1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24"/>
      <c r="T17" s="26"/>
      <c r="U17" s="24"/>
      <c r="V17" s="24"/>
      <c r="W17" s="24"/>
      <c r="X17" s="24"/>
      <c r="Y17" s="24"/>
      <c r="Z17" s="25"/>
      <c r="AA17" s="25"/>
      <c r="AB17" s="25"/>
    </row>
    <row r="18" spans="1:28" s="6" customFormat="1" ht="15.75" x14ac:dyDescent="0.25">
      <c r="A18" s="11">
        <v>135</v>
      </c>
      <c r="B18" s="32">
        <f>2*(-1*INDEX('Desconto Processos'!$B$5:$F$32,MATCH(180-$A18,'Desconto Processos'!$A$5:$A$32,0),MATCH(B$9,'Desconto Processos'!$B$3:$F$3,0))+INDEX('Acrescimo Tangente'!$B$4:$H$13,MATCH($A18,$A$10:$A$19,0),MATCH(B$9,$B$9:$H$9,0)))</f>
        <v>7.705382386916237</v>
      </c>
      <c r="C18" s="32">
        <f>2*(-1*INDEX('Desconto Processos'!$B$5:$F$32,MATCH(180-$A18,'Desconto Processos'!$A$5:$A$32,0),MATCH(C$9,'Desconto Processos'!$B$3:$F$3,0))+INDEX('Acrescimo Tangente'!$B$4:$H$13,MATCH($A18,$A$10:$A$19,0),MATCH(C$9,$B$9:$H$9,0)))</f>
        <v>8.0710678118654755</v>
      </c>
      <c r="D18" s="32">
        <f>2*(-1*INDEX('Desconto Processos'!$B$5:$F$32,MATCH(180-$A18,'Desconto Processos'!$A$5:$A$32,0),MATCH(D$9,'Desconto Processos'!$B$3:$F$3,0))+INDEX('Acrescimo Tangente'!$B$4:$H$13,MATCH($A18,$A$10:$A$19,0),MATCH(D$9,$B$9:$H$9,0)))</f>
        <v>8.7195959492893316</v>
      </c>
      <c r="E18" s="32">
        <f>2*(-1*INDEX('Desconto Processos'!$B$5:$F$32,MATCH(180-$A18,'Desconto Processos'!$A$5:$A$32,0),MATCH(E$9,'Desconto Processos'!$B$3:$F$3,0))+INDEX('Acrescimo Tangente'!$B$4:$H$13,MATCH($A18,$A$10:$A$19,0),MATCH(E$9,$B$9:$H$9,0)))</f>
        <v>9.6509667991878096</v>
      </c>
      <c r="F18" s="15">
        <v>0</v>
      </c>
      <c r="G18" s="32">
        <f>2*(-1*INDEX('Desconto Processos'!$B$5:$F$32,MATCH(180-$A18,'Desconto Processos'!$A$5:$A$32,0),MATCH(G$9,'Desconto Processos'!$B$3:$F$3,0))+INDEX('Acrescimo Tangente'!$B$4:$H$13,MATCH($A18,$A$10:$A$19,0),MATCH(G$9,$B$9:$H$9,0)))</f>
        <v>11.148023074035523</v>
      </c>
      <c r="H18" s="15">
        <v>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24"/>
      <c r="T18" s="26"/>
      <c r="U18" s="24"/>
      <c r="V18" s="24"/>
      <c r="W18" s="24"/>
      <c r="X18" s="24"/>
      <c r="Y18" s="24"/>
      <c r="Z18" s="25"/>
      <c r="AA18" s="25"/>
      <c r="AB18" s="25"/>
    </row>
    <row r="19" spans="1:28" s="6" customFormat="1" ht="15.75" x14ac:dyDescent="0.25">
      <c r="A19" s="11">
        <v>150</v>
      </c>
      <c r="B19" s="32">
        <f>2*(-1*INDEX('Desconto Processos'!$B$5:$F$32,MATCH(180-$A19,'Desconto Processos'!$A$5:$A$32,0),MATCH(B$9,'Desconto Processos'!$B$3:$F$3,0))+INDEX('Acrescimo Tangente'!$B$4:$H$13,MATCH($A19,$A$10:$A$19,0),MATCH(B$9,$B$9:$H$9,0)))</f>
        <v>13.367433714816835</v>
      </c>
      <c r="C19" s="32">
        <f>2*(-1*INDEX('Desconto Processos'!$B$5:$F$32,MATCH(180-$A19,'Desconto Processos'!$A$5:$A$32,0),MATCH(C$9,'Desconto Processos'!$B$3:$F$3,0))+INDEX('Acrescimo Tangente'!$B$4:$H$13,MATCH($A19,$A$10:$A$19,0),MATCH(C$9,$B$9:$H$9,0)))</f>
        <v>14.260254037844387</v>
      </c>
      <c r="D19" s="32">
        <f>2*(-1*INDEX('Desconto Processos'!$B$5:$F$32,MATCH(180-$A19,'Desconto Processos'!$A$5:$A$32,0),MATCH(D$9,'Desconto Processos'!$B$3:$F$3,0))+INDEX('Acrescimo Tangente'!$B$4:$H$13,MATCH($A19,$A$10:$A$19,0),MATCH(D$9,$B$9:$H$9,0)))</f>
        <v>15.599484522385714</v>
      </c>
      <c r="E19" s="32">
        <f>2*(-1*INDEX('Desconto Processos'!$B$5:$F$32,MATCH(180-$A19,'Desconto Processos'!$A$5:$A$32,0),MATCH(E$9,'Desconto Processos'!$B$3:$F$3,0))+INDEX('Acrescimo Tangente'!$B$4:$H$13,MATCH($A19,$A$10:$A$19,0),MATCH(E$9,$B$9:$H$9,0)))</f>
        <v>17.685125168440816</v>
      </c>
      <c r="F19" s="15">
        <v>0</v>
      </c>
      <c r="G19" s="32">
        <f>2*(-1*INDEX('Desconto Processos'!$B$5:$F$32,MATCH(180-$A19,'Desconto Processos'!$A$5:$A$32,0),MATCH(G$9,'Desconto Processos'!$B$3:$F$3,0))+INDEX('Acrescimo Tangente'!$B$4:$H$13,MATCH($A19,$A$10:$A$19,0),MATCH(G$9,$B$9:$H$9,0)))</f>
        <v>21.263586137523468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24"/>
      <c r="T19" s="26"/>
      <c r="U19" s="24"/>
      <c r="V19" s="24"/>
      <c r="W19" s="24"/>
      <c r="X19" s="24"/>
      <c r="Y19" s="24"/>
      <c r="Z19" s="25"/>
      <c r="AA19" s="25"/>
      <c r="AB19" s="25"/>
    </row>
    <row r="20" spans="1:28" s="6" customFormat="1" ht="16.5" thickBot="1" x14ac:dyDescent="0.3">
      <c r="A20" s="12"/>
      <c r="B20" s="12"/>
      <c r="O20" s="14"/>
      <c r="P20" s="14"/>
      <c r="Q20" s="14"/>
      <c r="R20" s="14"/>
      <c r="S20" s="27"/>
      <c r="T20" s="26"/>
      <c r="U20" s="24"/>
      <c r="V20" s="24"/>
      <c r="W20" s="24"/>
      <c r="X20" s="24"/>
      <c r="Y20" s="24"/>
      <c r="Z20" s="25"/>
      <c r="AA20" s="25"/>
      <c r="AB20" s="25"/>
    </row>
    <row r="21" spans="1:28" s="6" customFormat="1" ht="16.5" thickBot="1" x14ac:dyDescent="0.3">
      <c r="A21" s="8" t="s">
        <v>5</v>
      </c>
      <c r="B21" s="22">
        <v>1.5</v>
      </c>
      <c r="C21" s="17"/>
      <c r="D21" s="5"/>
      <c r="E21" s="5"/>
      <c r="F21" s="5"/>
      <c r="G21" s="5"/>
      <c r="H21" s="5"/>
      <c r="O21" s="14"/>
      <c r="P21" s="14"/>
      <c r="Q21" s="14"/>
      <c r="R21" s="14"/>
      <c r="S21" s="27"/>
      <c r="T21" s="26"/>
      <c r="U21" s="24"/>
      <c r="V21" s="24"/>
      <c r="W21" s="24"/>
      <c r="X21" s="24"/>
      <c r="Y21" s="24"/>
      <c r="Z21" s="25"/>
      <c r="AA21" s="25"/>
      <c r="AB21" s="25"/>
    </row>
    <row r="22" spans="1:28" ht="16.5" thickBot="1" x14ac:dyDescent="0.3">
      <c r="A22" s="35" t="s">
        <v>6</v>
      </c>
      <c r="B22" s="37" t="s">
        <v>8</v>
      </c>
      <c r="C22" s="38"/>
      <c r="D22" s="38"/>
      <c r="E22" s="38"/>
      <c r="F22" s="38"/>
      <c r="G22" s="38"/>
      <c r="H22" s="39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24"/>
      <c r="T22" s="26"/>
      <c r="U22" s="24"/>
      <c r="V22" s="24"/>
      <c r="W22" s="24"/>
      <c r="X22" s="24"/>
      <c r="Y22" s="24"/>
      <c r="Z22" s="28"/>
      <c r="AA22" s="28"/>
      <c r="AB22" s="28"/>
    </row>
    <row r="23" spans="1:28" ht="16.5" thickBot="1" x14ac:dyDescent="0.3">
      <c r="A23" s="36"/>
      <c r="B23" s="14">
        <v>1.1000000000000001</v>
      </c>
      <c r="C23" s="14">
        <v>1.3</v>
      </c>
      <c r="D23" s="27">
        <v>1.6</v>
      </c>
      <c r="E23" s="33">
        <v>2</v>
      </c>
      <c r="F23" s="14">
        <v>2.4</v>
      </c>
      <c r="G23" s="14">
        <v>2.6</v>
      </c>
      <c r="H23" s="14">
        <v>3.8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24"/>
      <c r="T23" s="24"/>
      <c r="U23" s="24"/>
      <c r="V23" s="24"/>
      <c r="W23" s="24"/>
      <c r="X23" s="24"/>
      <c r="Y23" s="24"/>
      <c r="Z23" s="28"/>
      <c r="AA23" s="28"/>
      <c r="AB23" s="28"/>
    </row>
    <row r="24" spans="1:28" ht="15.75" x14ac:dyDescent="0.25">
      <c r="A24" s="11">
        <v>15</v>
      </c>
      <c r="B24" s="15">
        <v>0</v>
      </c>
      <c r="C24" s="15">
        <v>0</v>
      </c>
      <c r="D24" s="15">
        <v>0</v>
      </c>
      <c r="E24" s="32">
        <f>2*(-1*INDEX('Desconto Processos'!$G$5:$G$32,MATCH(180-$A24,'Desconto Processos'!$A$5:$A$32,0),MATCH(E$23,'Desconto Processos'!$G$3,0))+INDEX('Acrescimo Tangente'!$B$18:$H$27,MATCH($A24,$A$10:$A$19,0),MATCH(E$23,$B$9:$H$9,0)))</f>
        <v>0.2</v>
      </c>
      <c r="F24" s="15">
        <v>0</v>
      </c>
      <c r="G24" s="15">
        <v>0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24"/>
      <c r="T24" s="24"/>
      <c r="U24" s="24"/>
      <c r="V24" s="24"/>
      <c r="W24" s="24"/>
      <c r="X24" s="24"/>
      <c r="Y24" s="24"/>
      <c r="Z24" s="28"/>
      <c r="AA24" s="28"/>
      <c r="AB24" s="28"/>
    </row>
    <row r="25" spans="1:28" ht="15.75" x14ac:dyDescent="0.25">
      <c r="A25" s="11">
        <v>30</v>
      </c>
      <c r="B25" s="15">
        <v>0</v>
      </c>
      <c r="C25" s="15">
        <v>0</v>
      </c>
      <c r="D25" s="15">
        <v>0</v>
      </c>
      <c r="E25" s="32">
        <f>2*(-1*INDEX('Desconto Processos'!$G$5:$G$32,MATCH(180-$A25,'Desconto Processos'!$A$5:$A$32,0),MATCH(E$23,'Desconto Processos'!$G$3,0))+INDEX('Acrescimo Tangente'!$B$18:$H$27,MATCH($A25,$A$10:$A$19,0),MATCH(E$23,$B$9:$H$9,0)))</f>
        <v>0.5</v>
      </c>
      <c r="F25" s="15">
        <v>0</v>
      </c>
      <c r="G25" s="15">
        <v>0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8" ht="15.75" x14ac:dyDescent="0.25">
      <c r="A26" s="11">
        <v>45</v>
      </c>
      <c r="B26" s="15">
        <v>0</v>
      </c>
      <c r="C26" s="15">
        <v>0</v>
      </c>
      <c r="D26" s="15">
        <v>0</v>
      </c>
      <c r="E26" s="32">
        <f>2*(-1*INDEX('Desconto Processos'!$G$5:$G$32,MATCH(180-$A26,'Desconto Processos'!$A$5:$A$32,0),MATCH(E$23,'Desconto Processos'!$G$3,0))+INDEX('Acrescimo Tangente'!$B$18:$H$27,MATCH($A26,$A$10:$A$19,0),MATCH(E$23,$B$9:$H$9,0)))</f>
        <v>0.8</v>
      </c>
      <c r="F26" s="15">
        <v>0</v>
      </c>
      <c r="G26" s="15">
        <v>0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8" ht="15.75" x14ac:dyDescent="0.25">
      <c r="A27" s="11">
        <v>60</v>
      </c>
      <c r="B27" s="15">
        <v>0</v>
      </c>
      <c r="C27" s="15">
        <v>0</v>
      </c>
      <c r="D27" s="15">
        <v>0</v>
      </c>
      <c r="E27" s="32">
        <f>2*(-1*INDEX('Desconto Processos'!$G$5:$G$32,MATCH(180-$A27,'Desconto Processos'!$A$5:$A$32,0),MATCH(E$23,'Desconto Processos'!$G$3,0))+INDEX('Acrescimo Tangente'!$B$18:$H$27,MATCH($A27,$A$10:$A$19,0),MATCH(E$23,$B$9:$H$9,0)))</f>
        <v>1.2</v>
      </c>
      <c r="F27" s="15">
        <v>0</v>
      </c>
      <c r="G27" s="15">
        <v>0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8" ht="15.75" x14ac:dyDescent="0.25">
      <c r="A28" s="11">
        <v>75</v>
      </c>
      <c r="B28" s="15">
        <v>0</v>
      </c>
      <c r="C28" s="15">
        <v>0</v>
      </c>
      <c r="D28" s="15">
        <v>0</v>
      </c>
      <c r="E28" s="32">
        <f>2*(-1*INDEX('Desconto Processos'!$G$5:$G$32,MATCH(180-$A28,'Desconto Processos'!$A$5:$A$32,0),MATCH(E$23,'Desconto Processos'!$G$3,0))+INDEX('Acrescimo Tangente'!$B$18:$H$27,MATCH($A28,$A$10:$A$19,0),MATCH(E$23,$B$9:$H$9,0)))</f>
        <v>1.9</v>
      </c>
      <c r="F28" s="15">
        <v>0</v>
      </c>
      <c r="G28" s="15">
        <v>0</v>
      </c>
      <c r="H28" s="15">
        <v>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8" ht="15.75" x14ac:dyDescent="0.25">
      <c r="A29" s="34">
        <v>90</v>
      </c>
      <c r="B29" s="23">
        <v>0</v>
      </c>
      <c r="C29" s="23">
        <v>0</v>
      </c>
      <c r="D29" s="23">
        <v>0</v>
      </c>
      <c r="E29" s="23">
        <f>2*(-1*INDEX('Desconto Processos'!$G$5:$G$32,MATCH(180-$A29,'Desconto Processos'!$A$5:$A$32,0),MATCH(E$23,'Desconto Processos'!$G$3,0))+INDEX('Acrescimo Tangente'!$B$18:$H$27,MATCH($A29,$A$10:$A$19,0),MATCH(E$23,$B$9:$H$9,0)))</f>
        <v>3</v>
      </c>
      <c r="F29" s="23">
        <v>0</v>
      </c>
      <c r="G29" s="23">
        <v>0</v>
      </c>
      <c r="H29" s="23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8" ht="15.75" x14ac:dyDescent="0.25">
      <c r="A30" s="11">
        <v>105</v>
      </c>
      <c r="B30" s="15">
        <v>0</v>
      </c>
      <c r="C30" s="15">
        <v>0</v>
      </c>
      <c r="D30" s="15">
        <v>0</v>
      </c>
      <c r="E30" s="32">
        <f>2*(-1*INDEX('Desconto Processos'!$G$5:$G$32,MATCH(180-$A30,'Desconto Processos'!$A$5:$A$32,0),MATCH(E$23,'Desconto Processos'!$G$3,0))+INDEX('Acrescimo Tangente'!$B$18:$H$27,MATCH($A30,$A$10:$A$19,0),MATCH(E$23,$B$9:$H$9,0)))</f>
        <v>4.1225776098884399</v>
      </c>
      <c r="F30" s="15">
        <v>0</v>
      </c>
      <c r="G30" s="15">
        <v>0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8" ht="15.75" x14ac:dyDescent="0.25">
      <c r="A31" s="11">
        <v>120</v>
      </c>
      <c r="B31" s="15">
        <v>0</v>
      </c>
      <c r="C31" s="15">
        <v>0</v>
      </c>
      <c r="D31" s="15">
        <v>0</v>
      </c>
      <c r="E31" s="32">
        <f>2*(-1*INDEX('Desconto Processos'!$G$5:$G$32,MATCH(180-$A31,'Desconto Processos'!$A$5:$A$32,0),MATCH(E$23,'Desconto Processos'!$G$3,0))+INDEX('Acrescimo Tangente'!$B$18:$H$27,MATCH($A31,$A$10:$A$19,0),MATCH(E$23,$B$9:$H$9,0)))</f>
        <v>6.4243556529821415</v>
      </c>
      <c r="F31" s="15">
        <v>0</v>
      </c>
      <c r="G31" s="15">
        <v>0</v>
      </c>
      <c r="H31" s="15"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8" ht="15.75" x14ac:dyDescent="0.25">
      <c r="A32" s="11">
        <v>135</v>
      </c>
      <c r="B32" s="15">
        <v>0</v>
      </c>
      <c r="C32" s="15">
        <v>0</v>
      </c>
      <c r="D32" s="15">
        <v>0</v>
      </c>
      <c r="E32" s="32">
        <f>2*(-1*INDEX('Desconto Processos'!$G$5:$G$32,MATCH(180-$A32,'Desconto Processos'!$A$5:$A$32,0),MATCH(E$23,'Desconto Processos'!$G$3,0))+INDEX('Acrescimo Tangente'!$B$18:$H$27,MATCH($A32,$A$10:$A$19,0),MATCH(E$23,$B$9:$H$9,0)))</f>
        <v>10.599494936611665</v>
      </c>
      <c r="F32" s="15">
        <v>0</v>
      </c>
      <c r="G32" s="15">
        <v>0</v>
      </c>
      <c r="H32" s="15">
        <v>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x14ac:dyDescent="0.25">
      <c r="A33" s="11">
        <v>150</v>
      </c>
      <c r="B33" s="15">
        <v>0</v>
      </c>
      <c r="C33" s="15">
        <v>0</v>
      </c>
      <c r="D33" s="15">
        <v>0</v>
      </c>
      <c r="E33" s="32">
        <f>2*(-1*INDEX('Desconto Processos'!$G$5:$G$32,MATCH(180-$A33,'Desconto Processos'!$A$5:$A$32,0),MATCH(E$23,'Desconto Processos'!$G$3,0))+INDEX('Acrescimo Tangente'!$B$18:$H$27,MATCH($A33,$A$10:$A$19,0),MATCH(E$23,$B$9:$H$9,0)))</f>
        <v>19.324355652982142</v>
      </c>
      <c r="F33" s="15">
        <v>0</v>
      </c>
      <c r="G33" s="15">
        <v>0</v>
      </c>
      <c r="H33" s="15">
        <v>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6.5" thickBot="1" x14ac:dyDescent="0.3">
      <c r="A34" s="31"/>
      <c r="B34" s="2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6.5" thickBot="1" x14ac:dyDescent="0.3">
      <c r="A35" s="8" t="s">
        <v>5</v>
      </c>
      <c r="B35" s="22">
        <v>2</v>
      </c>
      <c r="C35" s="17"/>
      <c r="D35" s="5"/>
      <c r="E35" s="5"/>
      <c r="F35" s="5"/>
      <c r="G35" s="5"/>
      <c r="H35" s="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6.5" thickBot="1" x14ac:dyDescent="0.25">
      <c r="A36" s="35" t="s">
        <v>6</v>
      </c>
      <c r="B36" s="37" t="s">
        <v>8</v>
      </c>
      <c r="C36" s="38"/>
      <c r="D36" s="38"/>
      <c r="E36" s="38"/>
      <c r="F36" s="38"/>
      <c r="G36" s="38"/>
      <c r="H36" s="39"/>
      <c r="I36" s="24"/>
      <c r="J36" s="24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6.5" thickBot="1" x14ac:dyDescent="0.3">
      <c r="A37" s="36"/>
      <c r="B37" s="14">
        <v>1.1000000000000001</v>
      </c>
      <c r="C37" s="14">
        <v>1.3</v>
      </c>
      <c r="D37" s="27">
        <v>1.6</v>
      </c>
      <c r="E37" s="14">
        <v>2</v>
      </c>
      <c r="F37" s="33">
        <v>2.4</v>
      </c>
      <c r="G37" s="14">
        <v>2.6</v>
      </c>
      <c r="H37" s="14">
        <v>3.8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5.75" x14ac:dyDescent="0.25">
      <c r="A38" s="11">
        <v>15</v>
      </c>
      <c r="B38" s="15">
        <v>0</v>
      </c>
      <c r="C38" s="15">
        <v>0</v>
      </c>
      <c r="D38" s="15">
        <v>0</v>
      </c>
      <c r="E38" s="15">
        <v>0</v>
      </c>
      <c r="F38" s="32">
        <f>2*(-1*INDEX('Desconto Processos'!$H$5:$H$32,MATCH(180-$A38,'Desconto Processos'!$A$5:$A$32,0),MATCH(F$37,'Desconto Processos'!$H$3,0))+INDEX('Acrescimo Tangente'!$B$32:$H$41,MATCH($A38,$A$10:$A$19,0),MATCH(F$37,$B$9:$H$9,0)))</f>
        <v>0.2</v>
      </c>
      <c r="G38" s="15">
        <v>0</v>
      </c>
      <c r="H38" s="15">
        <v>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.75" x14ac:dyDescent="0.25">
      <c r="A39" s="11">
        <v>30</v>
      </c>
      <c r="B39" s="15">
        <v>0</v>
      </c>
      <c r="C39" s="15">
        <v>0</v>
      </c>
      <c r="D39" s="15">
        <v>0</v>
      </c>
      <c r="E39" s="15">
        <v>0</v>
      </c>
      <c r="F39" s="32">
        <f>2*(-1*INDEX('Desconto Processos'!$H$5:$H$32,MATCH(180-$A39,'Desconto Processos'!$A$5:$A$32,0),MATCH(F$37,'Desconto Processos'!$H$3,0))+INDEX('Acrescimo Tangente'!$B$32:$H$41,MATCH($A39,$A$10:$A$19,0),MATCH(F$37,$B$9:$H$9,0)))</f>
        <v>0.6</v>
      </c>
      <c r="G39" s="15">
        <v>0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5.75" x14ac:dyDescent="0.25">
      <c r="A40" s="11">
        <v>45</v>
      </c>
      <c r="B40" s="15">
        <v>0</v>
      </c>
      <c r="C40" s="15">
        <v>0</v>
      </c>
      <c r="D40" s="15">
        <v>0</v>
      </c>
      <c r="E40" s="15">
        <v>0</v>
      </c>
      <c r="F40" s="32">
        <f>2*(-1*INDEX('Desconto Processos'!$H$5:$H$32,MATCH(180-$A40,'Desconto Processos'!$A$5:$A$32,0),MATCH(F$37,'Desconto Processos'!$H$3,0))+INDEX('Acrescimo Tangente'!$B$32:$H$41,MATCH($A40,$A$10:$A$19,0),MATCH(F$37,$B$9:$H$9,0)))</f>
        <v>1.1000000000000001</v>
      </c>
      <c r="G40" s="15">
        <v>0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5.75" x14ac:dyDescent="0.25">
      <c r="A41" s="11">
        <v>60</v>
      </c>
      <c r="B41" s="15">
        <v>0</v>
      </c>
      <c r="C41" s="15">
        <v>0</v>
      </c>
      <c r="D41" s="15">
        <v>0</v>
      </c>
      <c r="E41" s="15">
        <v>0</v>
      </c>
      <c r="F41" s="32">
        <f>2*(-1*INDEX('Desconto Processos'!$H$5:$H$32,MATCH(180-$A41,'Desconto Processos'!$A$5:$A$32,0),MATCH(F$37,'Desconto Processos'!$H$3,0))+INDEX('Acrescimo Tangente'!$B$32:$H$41,MATCH($A41,$A$10:$A$19,0),MATCH(F$37,$B$9:$H$9,0)))</f>
        <v>1.8</v>
      </c>
      <c r="G41" s="15">
        <v>0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5.75" x14ac:dyDescent="0.25">
      <c r="A42" s="11">
        <v>75</v>
      </c>
      <c r="B42" s="15">
        <v>0</v>
      </c>
      <c r="C42" s="15">
        <v>0</v>
      </c>
      <c r="D42" s="15">
        <v>0</v>
      </c>
      <c r="E42" s="15">
        <v>0</v>
      </c>
      <c r="F42" s="32">
        <f>2*(-1*INDEX('Desconto Processos'!$H$5:$H$32,MATCH(180-$A42,'Desconto Processos'!$A$5:$A$32,0),MATCH(F$37,'Desconto Processos'!$H$3,0))+INDEX('Acrescimo Tangente'!$B$32:$H$41,MATCH($A42,$A$10:$A$19,0),MATCH(F$37,$B$9:$H$9,0)))</f>
        <v>2.6</v>
      </c>
      <c r="G42" s="15">
        <v>0</v>
      </c>
      <c r="H42" s="15">
        <v>0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5.75" x14ac:dyDescent="0.25">
      <c r="A43" s="34">
        <v>90</v>
      </c>
      <c r="B43" s="23">
        <v>0</v>
      </c>
      <c r="C43" s="23">
        <v>0</v>
      </c>
      <c r="D43" s="23">
        <v>0</v>
      </c>
      <c r="E43" s="23">
        <v>0</v>
      </c>
      <c r="F43" s="23">
        <f>2*(-1*INDEX('Desconto Processos'!$H$5:$H$32,MATCH(180-$A43,'Desconto Processos'!$A$5:$A$32,0),MATCH(F$37,'Desconto Processos'!$H$3,0))+INDEX('Acrescimo Tangente'!$B$32:$H$41,MATCH($A43,$A$10:$A$19,0),MATCH(F$37,$B$9:$H$9,0)))</f>
        <v>4</v>
      </c>
      <c r="G43" s="23">
        <v>0</v>
      </c>
      <c r="H43" s="23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5.75" x14ac:dyDescent="0.25">
      <c r="A44" s="11">
        <v>105</v>
      </c>
      <c r="B44" s="15">
        <v>0</v>
      </c>
      <c r="C44" s="15">
        <v>0</v>
      </c>
      <c r="D44" s="15">
        <v>0</v>
      </c>
      <c r="E44" s="15">
        <v>0</v>
      </c>
      <c r="F44" s="32">
        <f>2*(-1*INDEX('Desconto Processos'!$H$5:$H$32,MATCH(180-$A44,'Desconto Processos'!$A$5:$A$32,0),MATCH(F$37,'Desconto Processos'!$H$3,0))+INDEX('Acrescimo Tangente'!$B$32:$H$41,MATCH($A44,$A$10:$A$19,0),MATCH(F$37,$B$9:$H$9,0)))</f>
        <v>5.4683832810026098</v>
      </c>
      <c r="G44" s="15">
        <v>0</v>
      </c>
      <c r="H44" s="15">
        <v>0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5.75" x14ac:dyDescent="0.25">
      <c r="A45" s="11">
        <v>120</v>
      </c>
      <c r="B45" s="15">
        <v>0</v>
      </c>
      <c r="C45" s="15">
        <v>0</v>
      </c>
      <c r="D45" s="15">
        <v>0</v>
      </c>
      <c r="E45" s="15">
        <v>0</v>
      </c>
      <c r="F45" s="32">
        <f>2*(-1*INDEX('Desconto Processos'!$H$5:$H$32,MATCH(180-$A45,'Desconto Processos'!$A$5:$A$32,0),MATCH(F$37,'Desconto Processos'!$H$3,0))+INDEX('Acrescimo Tangente'!$B$32:$H$41,MATCH($A45,$A$10:$A$19,0),MATCH(F$37,$B$9:$H$9,0)))</f>
        <v>8.4420471066061218</v>
      </c>
      <c r="G45" s="15">
        <v>0</v>
      </c>
      <c r="H45" s="15">
        <v>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x14ac:dyDescent="0.25">
      <c r="A46" s="11">
        <v>135</v>
      </c>
      <c r="B46" s="15">
        <v>0</v>
      </c>
      <c r="C46" s="15">
        <v>0</v>
      </c>
      <c r="D46" s="15">
        <v>0</v>
      </c>
      <c r="E46" s="15">
        <v>0</v>
      </c>
      <c r="F46" s="32">
        <f>2*(-1*INDEX('Desconto Processos'!$H$5:$H$32,MATCH(180-$A46,'Desconto Processos'!$A$5:$A$32,0),MATCH(F$37,'Desconto Processos'!$H$3,0))+INDEX('Acrescimo Tangente'!$B$32:$H$41,MATCH($A46,$A$10:$A$19,0),MATCH(F$37,$B$9:$H$9,0)))</f>
        <v>13.445079348883237</v>
      </c>
      <c r="G46" s="15">
        <v>0</v>
      </c>
      <c r="H46" s="15">
        <v>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75" x14ac:dyDescent="0.25">
      <c r="A47" s="11">
        <v>150</v>
      </c>
      <c r="B47" s="15">
        <v>0</v>
      </c>
      <c r="C47" s="15">
        <v>0</v>
      </c>
      <c r="D47" s="15">
        <v>0</v>
      </c>
      <c r="E47" s="15">
        <v>0</v>
      </c>
      <c r="F47" s="32">
        <f>2*(-1*INDEX('Desconto Processos'!$H$5:$H$32,MATCH(180-$A47,'Desconto Processos'!$A$5:$A$32,0),MATCH(F$37,'Desconto Processos'!$H$3,0))+INDEX('Acrescimo Tangente'!$B$32:$H$41,MATCH($A47,$A$10:$A$19,0),MATCH(F$37,$B$9:$H$9,0)))</f>
        <v>24.542047106606123</v>
      </c>
      <c r="G47" s="15">
        <v>0</v>
      </c>
      <c r="H47" s="15">
        <v>0</v>
      </c>
      <c r="I47" s="19"/>
      <c r="J47" s="19"/>
      <c r="K47" s="19"/>
      <c r="L47" s="19"/>
      <c r="M47" s="19"/>
      <c r="N47" s="19"/>
      <c r="O47" s="19"/>
      <c r="P47" s="19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6.5" thickBot="1" x14ac:dyDescent="0.3">
      <c r="A48" s="31"/>
      <c r="B48" s="21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6.5" thickBot="1" x14ac:dyDescent="0.3">
      <c r="A49" s="8" t="s">
        <v>5</v>
      </c>
      <c r="B49" s="22">
        <v>3</v>
      </c>
      <c r="C49" s="17"/>
      <c r="D49" s="5"/>
      <c r="E49" s="5"/>
      <c r="F49" s="5"/>
      <c r="G49" s="5"/>
      <c r="H49" s="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6.5" thickBot="1" x14ac:dyDescent="0.25">
      <c r="A50" s="35" t="s">
        <v>6</v>
      </c>
      <c r="B50" s="37" t="s">
        <v>8</v>
      </c>
      <c r="C50" s="38"/>
      <c r="D50" s="38"/>
      <c r="E50" s="38"/>
      <c r="F50" s="38"/>
      <c r="G50" s="38"/>
      <c r="H50" s="39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6.5" thickBot="1" x14ac:dyDescent="0.3">
      <c r="A51" s="36"/>
      <c r="B51" s="14">
        <v>1.1000000000000001</v>
      </c>
      <c r="C51" s="14">
        <v>1.3</v>
      </c>
      <c r="D51" s="27">
        <v>1.6</v>
      </c>
      <c r="E51" s="14">
        <v>2</v>
      </c>
      <c r="F51" s="14">
        <v>2.4</v>
      </c>
      <c r="G51" s="14">
        <v>2.6</v>
      </c>
      <c r="H51" s="33">
        <v>3.8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5.75" x14ac:dyDescent="0.25">
      <c r="A52" s="11">
        <v>15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32">
        <f>2*(-1*INDEX('Desconto Processos'!$I$5:$I$32,MATCH(180-$A52,'Desconto Processos'!$A$5:$A$32,0),MATCH(H$51,'Desconto Processos'!$I$3,0))+INDEX('Acrescimo Tangente'!$B$46:$H$55,MATCH($A52,$A$10:$A$19,0),MATCH(H$51,$B$9:$H$9,0)))</f>
        <v>0.3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 x14ac:dyDescent="0.25">
      <c r="A53" s="11">
        <v>30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32">
        <f>2*(-1*INDEX('Desconto Processos'!$I$5:$I$32,MATCH(180-$A53,'Desconto Processos'!$A$5:$A$32,0),MATCH(H$51,'Desconto Processos'!$I$3,0))+INDEX('Acrescimo Tangente'!$B$46:$H$55,MATCH($A53,$A$10:$A$19,0),MATCH(H$51,$B$9:$H$9,0)))</f>
        <v>0.9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5.75" x14ac:dyDescent="0.25">
      <c r="A54" s="11">
        <v>45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32">
        <f>2*(-1*INDEX('Desconto Processos'!$I$5:$I$32,MATCH(180-$A54,'Desconto Processos'!$A$5:$A$32,0),MATCH(H$51,'Desconto Processos'!$I$3,0))+INDEX('Acrescimo Tangente'!$B$46:$H$55,MATCH($A54,$A$10:$A$19,0),MATCH(H$51,$B$9:$H$9,0)))</f>
        <v>1.8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5.75" x14ac:dyDescent="0.25">
      <c r="A55" s="11">
        <v>60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32">
        <f>2*(-1*INDEX('Desconto Processos'!$I$5:$I$32,MATCH(180-$A55,'Desconto Processos'!$A$5:$A$32,0),MATCH(H$51,'Desconto Processos'!$I$3,0))+INDEX('Acrescimo Tangente'!$B$46:$H$55,MATCH($A55,$A$10:$A$19,0),MATCH(H$51,$B$9:$H$9,0)))</f>
        <v>2.8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5.75" x14ac:dyDescent="0.25">
      <c r="A56" s="11">
        <v>75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0</v>
      </c>
      <c r="H56" s="32">
        <f>2*(-1*INDEX('Desconto Processos'!$I$5:$I$32,MATCH(180-$A56,'Desconto Processos'!$A$5:$A$32,0),MATCH(H$51,'Desconto Processos'!$I$3,0))+INDEX('Acrescimo Tangente'!$B$46:$H$55,MATCH($A56,$A$10:$A$19,0),MATCH(H$51,$B$9:$H$9,0)))</f>
        <v>4.0999999999999996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5.75" x14ac:dyDescent="0.25">
      <c r="A57" s="34">
        <v>90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f>2*(-1*INDEX('Desconto Processos'!$I$5:$I$32,MATCH(180-$A57,'Desconto Processos'!$A$5:$A$32,0),MATCH(H$51,'Desconto Processos'!$I$3,0))+INDEX('Acrescimo Tangente'!$B$46:$H$55,MATCH($A57,$A$10:$A$19,0),MATCH(H$51,$B$9:$H$9,0)))</f>
        <v>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5.75" x14ac:dyDescent="0.25">
      <c r="A58" s="11">
        <v>105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32">
        <f>2*(-1*INDEX('Desconto Processos'!$I$5:$I$32,MATCH(180-$A58,'Desconto Processos'!$A$5:$A$32,0),MATCH(H$51,'Desconto Processos'!$I$3,0))+INDEX('Acrescimo Tangente'!$B$46:$H$55,MATCH($A58,$A$10:$A$19,0),MATCH(H$51,$B$9:$H$9,0)))</f>
        <v>8.4238650706403977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5.75" x14ac:dyDescent="0.25">
      <c r="A59" s="11">
        <v>120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32">
        <f>2*(-1*INDEX('Desconto Processos'!$I$5:$I$32,MATCH(180-$A59,'Desconto Processos'!$A$5:$A$32,0),MATCH(H$51,'Desconto Processos'!$I$3,0))+INDEX('Acrescimo Tangente'!$B$46:$H$55,MATCH($A59,$A$10:$A$19,0),MATCH(H$51,$B$9:$H$9,0)))</f>
        <v>12.855890982936733</v>
      </c>
    </row>
    <row r="60" spans="1:25" ht="15.75" x14ac:dyDescent="0.25">
      <c r="A60" s="11">
        <v>135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32">
        <f>2*(-1*INDEX('Desconto Processos'!$I$5:$I$32,MATCH(180-$A60,'Desconto Processos'!$A$5:$A$32,0),MATCH(H$51,'Desconto Processos'!$I$3,0))+INDEX('Acrescimo Tangente'!$B$46:$H$55,MATCH($A60,$A$10:$A$19,0),MATCH(H$51,$B$9:$H$9,0)))</f>
        <v>20.733304448274094</v>
      </c>
    </row>
    <row r="61" spans="1:25" ht="15.75" x14ac:dyDescent="0.25">
      <c r="A61" s="11">
        <v>150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32">
        <f>2*(-1*INDEX('Desconto Processos'!$I$5:$I$32,MATCH(180-$A61,'Desconto Processos'!$A$5:$A$32,0),MATCH(H$51,'Desconto Processos'!$I$3,0))+INDEX('Acrescimo Tangente'!$B$46:$H$55,MATCH($A61,$A$10:$A$19,0),MATCH(H$51,$B$9:$H$9,0)))</f>
        <v>37.455890982936729</v>
      </c>
    </row>
  </sheetData>
  <mergeCells count="8">
    <mergeCell ref="A50:A51"/>
    <mergeCell ref="B50:H50"/>
    <mergeCell ref="A8:A9"/>
    <mergeCell ref="B8:H8"/>
    <mergeCell ref="A22:A23"/>
    <mergeCell ref="B22:H22"/>
    <mergeCell ref="A36:A37"/>
    <mergeCell ref="B36:H36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verticalDpi="200" r:id="rId1"/>
  <headerFooter alignWithMargins="0"/>
  <cellWatches>
    <cellWatch r="G16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K11" sqref="K11"/>
    </sheetView>
  </sheetViews>
  <sheetFormatPr defaultRowHeight="12.75" x14ac:dyDescent="0.2"/>
  <cols>
    <col min="1" max="1" width="12.28515625" bestFit="1" customWidth="1"/>
  </cols>
  <sheetData>
    <row r="1" spans="1:9" x14ac:dyDescent="0.2">
      <c r="A1" s="81" t="s">
        <v>9</v>
      </c>
      <c r="B1" s="40" t="s">
        <v>10</v>
      </c>
      <c r="C1" s="41"/>
      <c r="D1" s="41"/>
      <c r="E1" s="41"/>
      <c r="F1" s="42"/>
      <c r="G1" s="43" t="s">
        <v>11</v>
      </c>
      <c r="H1" s="43" t="s">
        <v>12</v>
      </c>
      <c r="I1" s="43" t="s">
        <v>13</v>
      </c>
    </row>
    <row r="2" spans="1:9" x14ac:dyDescent="0.2">
      <c r="A2" s="44" t="s">
        <v>14</v>
      </c>
      <c r="B2" s="44">
        <v>6</v>
      </c>
      <c r="C2" s="45">
        <v>8</v>
      </c>
      <c r="D2" s="46">
        <v>10</v>
      </c>
      <c r="E2" s="45">
        <v>12</v>
      </c>
      <c r="F2" s="47">
        <v>16</v>
      </c>
      <c r="G2" s="48">
        <v>12</v>
      </c>
      <c r="H2" s="48">
        <v>12</v>
      </c>
      <c r="I2" s="48">
        <v>20</v>
      </c>
    </row>
    <row r="3" spans="1:9" ht="13.5" thickBot="1" x14ac:dyDescent="0.25">
      <c r="A3" s="81" t="s">
        <v>15</v>
      </c>
      <c r="B3" s="74">
        <v>1.1000000000000001</v>
      </c>
      <c r="C3" s="75">
        <v>1.3</v>
      </c>
      <c r="D3" s="76">
        <v>1.6</v>
      </c>
      <c r="E3" s="75">
        <v>2</v>
      </c>
      <c r="F3" s="77">
        <v>2.6</v>
      </c>
      <c r="G3" s="78">
        <v>2</v>
      </c>
      <c r="H3" s="78">
        <v>2.4</v>
      </c>
      <c r="I3" s="78">
        <v>3.8</v>
      </c>
    </row>
    <row r="4" spans="1:9" ht="13.5" thickBot="1" x14ac:dyDescent="0.25">
      <c r="A4" s="82" t="s">
        <v>16</v>
      </c>
      <c r="B4" s="49" t="s">
        <v>17</v>
      </c>
      <c r="C4" s="50"/>
      <c r="D4" s="50"/>
      <c r="E4" s="50"/>
      <c r="F4" s="50"/>
      <c r="G4" s="50"/>
      <c r="H4" s="50"/>
      <c r="I4" s="51"/>
    </row>
    <row r="5" spans="1:9" x14ac:dyDescent="0.2">
      <c r="A5" s="44">
        <v>30</v>
      </c>
      <c r="B5" s="52">
        <v>-0.4</v>
      </c>
      <c r="C5" s="53">
        <v>-0.3</v>
      </c>
      <c r="D5" s="54">
        <v>-0.15</v>
      </c>
      <c r="E5" s="53">
        <v>-0.1</v>
      </c>
      <c r="F5" s="55">
        <v>-0.25</v>
      </c>
      <c r="G5" s="56">
        <v>-0.1</v>
      </c>
      <c r="H5" s="56">
        <v>-0.25</v>
      </c>
      <c r="I5" s="56">
        <v>-0.15</v>
      </c>
    </row>
    <row r="6" spans="1:9" x14ac:dyDescent="0.2">
      <c r="A6" s="81">
        <v>35</v>
      </c>
      <c r="B6" s="57"/>
      <c r="C6" s="58"/>
      <c r="D6" s="59"/>
      <c r="E6" s="58"/>
      <c r="F6" s="60"/>
      <c r="G6" s="61"/>
      <c r="H6" s="61"/>
      <c r="I6" s="61"/>
    </row>
    <row r="7" spans="1:9" x14ac:dyDescent="0.2">
      <c r="A7" s="44">
        <v>40</v>
      </c>
      <c r="B7" s="62"/>
      <c r="C7" s="63"/>
      <c r="D7" s="59"/>
      <c r="E7" s="63"/>
      <c r="F7" s="64"/>
      <c r="G7" s="65"/>
      <c r="H7" s="65"/>
      <c r="I7" s="65"/>
    </row>
    <row r="8" spans="1:9" x14ac:dyDescent="0.2">
      <c r="A8" s="81">
        <v>45</v>
      </c>
      <c r="B8" s="57">
        <v>-0.6</v>
      </c>
      <c r="C8" s="58">
        <v>-0.5</v>
      </c>
      <c r="D8" s="59">
        <v>-0.4</v>
      </c>
      <c r="E8" s="58">
        <v>-0.3</v>
      </c>
      <c r="F8" s="60">
        <v>-0.2</v>
      </c>
      <c r="G8" s="61">
        <v>-0.35</v>
      </c>
      <c r="H8" s="61">
        <v>-0.5</v>
      </c>
      <c r="I8" s="61">
        <v>-0.75</v>
      </c>
    </row>
    <row r="9" spans="1:9" x14ac:dyDescent="0.2">
      <c r="A9" s="44">
        <v>50</v>
      </c>
      <c r="B9" s="62"/>
      <c r="C9" s="63"/>
      <c r="D9" s="59"/>
      <c r="E9" s="63"/>
      <c r="F9" s="64"/>
      <c r="G9" s="65"/>
      <c r="H9" s="65"/>
      <c r="I9" s="65"/>
    </row>
    <row r="10" spans="1:9" x14ac:dyDescent="0.2">
      <c r="A10" s="81">
        <v>55</v>
      </c>
      <c r="B10" s="57"/>
      <c r="C10" s="58"/>
      <c r="D10" s="59"/>
      <c r="E10" s="58"/>
      <c r="F10" s="60"/>
      <c r="G10" s="61"/>
      <c r="H10" s="61"/>
      <c r="I10" s="61"/>
    </row>
    <row r="11" spans="1:9" x14ac:dyDescent="0.2">
      <c r="A11" s="44">
        <v>60</v>
      </c>
      <c r="B11" s="62">
        <v>-0.75</v>
      </c>
      <c r="C11" s="63">
        <v>-0.7</v>
      </c>
      <c r="D11" s="59">
        <v>-0.7</v>
      </c>
      <c r="E11" s="63">
        <v>-0.65</v>
      </c>
      <c r="F11" s="64">
        <v>-0.55000000000000004</v>
      </c>
      <c r="G11" s="65">
        <v>-0.65</v>
      </c>
      <c r="H11" s="65">
        <v>-1</v>
      </c>
      <c r="I11" s="65">
        <v>-1.45</v>
      </c>
    </row>
    <row r="12" spans="1:9" x14ac:dyDescent="0.2">
      <c r="A12" s="81">
        <v>65</v>
      </c>
      <c r="B12" s="57"/>
      <c r="C12" s="58"/>
      <c r="D12" s="59"/>
      <c r="E12" s="58"/>
      <c r="F12" s="60"/>
      <c r="G12" s="61"/>
      <c r="H12" s="61"/>
      <c r="I12" s="61"/>
    </row>
    <row r="13" spans="1:9" x14ac:dyDescent="0.2">
      <c r="A13" s="44">
        <v>70</v>
      </c>
      <c r="B13" s="62"/>
      <c r="C13" s="63"/>
      <c r="D13" s="59"/>
      <c r="E13" s="63"/>
      <c r="F13" s="64"/>
      <c r="G13" s="65"/>
      <c r="H13" s="65"/>
      <c r="I13" s="65"/>
    </row>
    <row r="14" spans="1:9" x14ac:dyDescent="0.2">
      <c r="A14" s="81">
        <v>75</v>
      </c>
      <c r="B14" s="57">
        <v>-1.05</v>
      </c>
      <c r="C14" s="58">
        <v>-1.05</v>
      </c>
      <c r="D14" s="59">
        <v>-1.05</v>
      </c>
      <c r="E14" s="58">
        <v>-1.05</v>
      </c>
      <c r="F14" s="60">
        <v>-1.05</v>
      </c>
      <c r="G14" s="61">
        <v>-1</v>
      </c>
      <c r="H14" s="61">
        <v>-1.4</v>
      </c>
      <c r="I14" s="61">
        <v>-2.15</v>
      </c>
    </row>
    <row r="15" spans="1:9" x14ac:dyDescent="0.2">
      <c r="A15" s="44">
        <v>80</v>
      </c>
      <c r="B15" s="62"/>
      <c r="C15" s="63"/>
      <c r="D15" s="59"/>
      <c r="E15" s="63"/>
      <c r="F15" s="64"/>
      <c r="G15" s="65"/>
      <c r="H15" s="65"/>
      <c r="I15" s="65"/>
    </row>
    <row r="16" spans="1:9" x14ac:dyDescent="0.2">
      <c r="A16" s="81">
        <v>85</v>
      </c>
      <c r="B16" s="57"/>
      <c r="C16" s="58"/>
      <c r="D16" s="59"/>
      <c r="E16" s="58"/>
      <c r="F16" s="60"/>
      <c r="G16" s="61"/>
      <c r="H16" s="61"/>
      <c r="I16" s="61"/>
    </row>
    <row r="17" spans="1:9" x14ac:dyDescent="0.2">
      <c r="A17" s="83">
        <v>90</v>
      </c>
      <c r="B17" s="66">
        <v>-1.2</v>
      </c>
      <c r="C17" s="59">
        <v>-1.2</v>
      </c>
      <c r="D17" s="59">
        <v>-1.3</v>
      </c>
      <c r="E17" s="59">
        <v>-1.35</v>
      </c>
      <c r="F17" s="67">
        <v>-1.4</v>
      </c>
      <c r="G17" s="68">
        <v>-1.5</v>
      </c>
      <c r="H17" s="68">
        <v>-2</v>
      </c>
      <c r="I17" s="68">
        <v>-3</v>
      </c>
    </row>
    <row r="18" spans="1:9" x14ac:dyDescent="0.2">
      <c r="A18" s="81">
        <v>95</v>
      </c>
      <c r="B18" s="57"/>
      <c r="C18" s="58"/>
      <c r="D18" s="59"/>
      <c r="E18" s="58"/>
      <c r="F18" s="60"/>
      <c r="G18" s="61"/>
      <c r="H18" s="61"/>
      <c r="I18" s="61"/>
    </row>
    <row r="19" spans="1:9" x14ac:dyDescent="0.2">
      <c r="A19" s="44">
        <v>100</v>
      </c>
      <c r="B19" s="62"/>
      <c r="C19" s="63"/>
      <c r="D19" s="59"/>
      <c r="E19" s="63"/>
      <c r="F19" s="64"/>
      <c r="G19" s="65"/>
      <c r="H19" s="65"/>
      <c r="I19" s="65"/>
    </row>
    <row r="20" spans="1:9" x14ac:dyDescent="0.2">
      <c r="A20" s="81">
        <v>105</v>
      </c>
      <c r="B20" s="57">
        <v>-0.8</v>
      </c>
      <c r="C20" s="58">
        <v>-0.8</v>
      </c>
      <c r="D20" s="59">
        <v>-0.8</v>
      </c>
      <c r="E20" s="58">
        <v>-0.85</v>
      </c>
      <c r="F20" s="60">
        <v>-0.85</v>
      </c>
      <c r="G20" s="61">
        <v>-0.95</v>
      </c>
      <c r="H20" s="61">
        <v>-1.3</v>
      </c>
      <c r="I20" s="61">
        <v>-2.0499999999999998</v>
      </c>
    </row>
    <row r="21" spans="1:9" x14ac:dyDescent="0.2">
      <c r="A21" s="44">
        <v>110</v>
      </c>
      <c r="B21" s="62"/>
      <c r="C21" s="63"/>
      <c r="D21" s="59"/>
      <c r="E21" s="63"/>
      <c r="F21" s="64"/>
      <c r="G21" s="65"/>
      <c r="H21" s="65"/>
      <c r="I21" s="65"/>
    </row>
    <row r="22" spans="1:9" x14ac:dyDescent="0.2">
      <c r="A22" s="81">
        <v>115</v>
      </c>
      <c r="B22" s="57"/>
      <c r="C22" s="58"/>
      <c r="D22" s="59"/>
      <c r="E22" s="58"/>
      <c r="F22" s="60"/>
      <c r="G22" s="61"/>
      <c r="H22" s="61"/>
      <c r="I22" s="61"/>
    </row>
    <row r="23" spans="1:9" x14ac:dyDescent="0.2">
      <c r="A23" s="44">
        <v>120</v>
      </c>
      <c r="B23" s="62">
        <v>-0.55000000000000004</v>
      </c>
      <c r="C23" s="63">
        <v>-0.55000000000000004</v>
      </c>
      <c r="D23" s="59">
        <v>-0.55000000000000004</v>
      </c>
      <c r="E23" s="63">
        <v>-0.55000000000000004</v>
      </c>
      <c r="F23" s="64">
        <v>-0.6</v>
      </c>
      <c r="G23" s="65">
        <v>-0.6</v>
      </c>
      <c r="H23" s="65">
        <v>-0.9</v>
      </c>
      <c r="I23" s="65">
        <v>-1.4</v>
      </c>
    </row>
    <row r="24" spans="1:9" x14ac:dyDescent="0.2">
      <c r="A24" s="81">
        <v>125</v>
      </c>
      <c r="B24" s="57"/>
      <c r="C24" s="58"/>
      <c r="D24" s="59"/>
      <c r="E24" s="58"/>
      <c r="F24" s="60"/>
      <c r="G24" s="61"/>
      <c r="H24" s="61"/>
      <c r="I24" s="61"/>
    </row>
    <row r="25" spans="1:9" x14ac:dyDescent="0.2">
      <c r="A25" s="44">
        <v>130</v>
      </c>
      <c r="B25" s="62"/>
      <c r="C25" s="63"/>
      <c r="D25" s="59"/>
      <c r="E25" s="63"/>
      <c r="F25" s="64"/>
      <c r="G25" s="65"/>
      <c r="H25" s="65"/>
      <c r="I25" s="65"/>
    </row>
    <row r="26" spans="1:9" x14ac:dyDescent="0.2">
      <c r="A26" s="81">
        <v>135</v>
      </c>
      <c r="B26" s="57">
        <v>-0.4</v>
      </c>
      <c r="C26" s="58">
        <v>-0.35</v>
      </c>
      <c r="D26" s="59">
        <v>-0.35</v>
      </c>
      <c r="E26" s="58">
        <v>-0.35</v>
      </c>
      <c r="F26" s="60">
        <v>-0.35</v>
      </c>
      <c r="G26" s="61">
        <v>-0.4</v>
      </c>
      <c r="H26" s="61">
        <v>-0.55000000000000004</v>
      </c>
      <c r="I26" s="61">
        <v>-0.9</v>
      </c>
    </row>
    <row r="27" spans="1:9" x14ac:dyDescent="0.2">
      <c r="A27" s="44">
        <v>140</v>
      </c>
      <c r="B27" s="62"/>
      <c r="C27" s="63"/>
      <c r="D27" s="59"/>
      <c r="E27" s="63"/>
      <c r="F27" s="64"/>
      <c r="G27" s="65"/>
      <c r="H27" s="65"/>
      <c r="I27" s="65"/>
    </row>
    <row r="28" spans="1:9" x14ac:dyDescent="0.2">
      <c r="A28" s="81">
        <v>145</v>
      </c>
      <c r="B28" s="57"/>
      <c r="C28" s="58"/>
      <c r="D28" s="59"/>
      <c r="E28" s="58"/>
      <c r="F28" s="60"/>
      <c r="G28" s="61"/>
      <c r="H28" s="61"/>
      <c r="I28" s="61"/>
    </row>
    <row r="29" spans="1:9" x14ac:dyDescent="0.2">
      <c r="A29" s="44">
        <v>150</v>
      </c>
      <c r="B29" s="62">
        <v>-0.25</v>
      </c>
      <c r="C29" s="63">
        <v>-0.25</v>
      </c>
      <c r="D29" s="59">
        <v>-0.2</v>
      </c>
      <c r="E29" s="63">
        <v>-0.2</v>
      </c>
      <c r="F29" s="64">
        <v>-0.2</v>
      </c>
      <c r="G29" s="65">
        <v>-0.25</v>
      </c>
      <c r="H29" s="65">
        <v>-0.3</v>
      </c>
      <c r="I29" s="65">
        <v>-0.45</v>
      </c>
    </row>
    <row r="30" spans="1:9" x14ac:dyDescent="0.2">
      <c r="A30" s="81">
        <v>155</v>
      </c>
      <c r="B30" s="57"/>
      <c r="C30" s="58"/>
      <c r="D30" s="59"/>
      <c r="E30" s="58"/>
      <c r="F30" s="60"/>
      <c r="G30" s="61"/>
      <c r="H30" s="61"/>
      <c r="I30" s="61"/>
    </row>
    <row r="31" spans="1:9" x14ac:dyDescent="0.2">
      <c r="A31" s="44">
        <v>160</v>
      </c>
      <c r="B31" s="62"/>
      <c r="C31" s="63"/>
      <c r="D31" s="59"/>
      <c r="E31" s="63"/>
      <c r="F31" s="64"/>
      <c r="G31" s="65"/>
      <c r="H31" s="65"/>
      <c r="I31" s="65"/>
    </row>
    <row r="32" spans="1:9" ht="13.5" thickBot="1" x14ac:dyDescent="0.25">
      <c r="A32" s="84">
        <v>165</v>
      </c>
      <c r="B32" s="69">
        <v>-0.1</v>
      </c>
      <c r="C32" s="70">
        <v>-0.1</v>
      </c>
      <c r="D32" s="71">
        <v>-0.1</v>
      </c>
      <c r="E32" s="70">
        <v>-0.1</v>
      </c>
      <c r="F32" s="72">
        <v>-0.1</v>
      </c>
      <c r="G32" s="73">
        <v>-0.1</v>
      </c>
      <c r="H32" s="73">
        <v>-0.1</v>
      </c>
      <c r="I32" s="73">
        <v>-0.15</v>
      </c>
    </row>
    <row r="33" spans="2:9" x14ac:dyDescent="0.2">
      <c r="B33" s="79"/>
      <c r="C33" s="79"/>
      <c r="D33" s="79"/>
      <c r="E33" s="79"/>
      <c r="F33" s="79"/>
      <c r="G33" s="79"/>
      <c r="H33" s="79"/>
      <c r="I33" s="79"/>
    </row>
  </sheetData>
  <mergeCells count="2">
    <mergeCell ref="B1:F1"/>
    <mergeCell ref="B4:I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5"/>
  <sheetViews>
    <sheetView topLeftCell="A22" zoomScale="85" zoomScaleNormal="85" workbookViewId="0">
      <selection activeCell="H55" sqref="H55"/>
    </sheetView>
  </sheetViews>
  <sheetFormatPr defaultRowHeight="12.75" x14ac:dyDescent="0.2"/>
  <cols>
    <col min="1" max="1" width="17" customWidth="1"/>
    <col min="2" max="8" width="9.85546875" customWidth="1"/>
    <col min="16" max="16" width="9.28515625" bestFit="1" customWidth="1"/>
  </cols>
  <sheetData>
    <row r="1" spans="1:41" s="5" customFormat="1" ht="16.5" thickBot="1" x14ac:dyDescent="0.3">
      <c r="A1" s="8" t="s">
        <v>5</v>
      </c>
      <c r="B1" s="22">
        <v>1.2</v>
      </c>
      <c r="C1" s="17"/>
    </row>
    <row r="2" spans="1:41" s="6" customFormat="1" ht="18" customHeight="1" thickBot="1" x14ac:dyDescent="0.3">
      <c r="A2" s="35" t="s">
        <v>6</v>
      </c>
      <c r="B2" s="37" t="s">
        <v>8</v>
      </c>
      <c r="C2" s="38"/>
      <c r="D2" s="38"/>
      <c r="E2" s="38"/>
      <c r="F2" s="38"/>
      <c r="G2" s="38"/>
      <c r="H2" s="39"/>
      <c r="I2" s="29"/>
      <c r="J2" s="29"/>
      <c r="K2" s="29"/>
      <c r="L2" s="29"/>
      <c r="M2" s="29"/>
      <c r="N2" s="29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41" s="10" customFormat="1" ht="16.5" thickBot="1" x14ac:dyDescent="0.3">
      <c r="A3" s="36"/>
      <c r="B3" s="33">
        <v>1.1000000000000001</v>
      </c>
      <c r="C3" s="33">
        <v>1.3</v>
      </c>
      <c r="D3" s="33">
        <v>1.6</v>
      </c>
      <c r="E3" s="33">
        <v>2</v>
      </c>
      <c r="F3" s="14">
        <v>2.4</v>
      </c>
      <c r="G3" s="33">
        <v>2.6</v>
      </c>
      <c r="H3" s="30">
        <v>3.8</v>
      </c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</row>
    <row r="4" spans="1:41" s="10" customFormat="1" ht="15.75" x14ac:dyDescent="0.25">
      <c r="A4" s="11">
        <v>15</v>
      </c>
      <c r="B4" s="32">
        <v>0</v>
      </c>
      <c r="C4" s="32">
        <v>0</v>
      </c>
      <c r="D4" s="32">
        <v>0</v>
      </c>
      <c r="E4" s="32">
        <v>0</v>
      </c>
      <c r="F4" s="15">
        <v>0</v>
      </c>
      <c r="G4" s="32">
        <v>0</v>
      </c>
      <c r="H4" s="15">
        <v>0</v>
      </c>
      <c r="I4" s="14"/>
      <c r="J4" s="14"/>
      <c r="K4" s="14"/>
      <c r="L4" s="14"/>
      <c r="M4" s="14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</row>
    <row r="5" spans="1:41" s="6" customFormat="1" ht="15.75" x14ac:dyDescent="0.25">
      <c r="A5" s="11">
        <v>30</v>
      </c>
      <c r="B5" s="32">
        <v>0</v>
      </c>
      <c r="C5" s="32">
        <v>0</v>
      </c>
      <c r="D5" s="32">
        <v>0</v>
      </c>
      <c r="E5" s="32">
        <v>0</v>
      </c>
      <c r="F5" s="15">
        <v>0</v>
      </c>
      <c r="G5" s="32">
        <v>0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41" s="6" customFormat="1" ht="15.75" x14ac:dyDescent="0.25">
      <c r="A6" s="11">
        <v>45</v>
      </c>
      <c r="B6" s="32">
        <v>0</v>
      </c>
      <c r="C6" s="32">
        <v>0</v>
      </c>
      <c r="D6" s="32">
        <v>0</v>
      </c>
      <c r="E6" s="32">
        <v>0</v>
      </c>
      <c r="F6" s="15">
        <v>0</v>
      </c>
      <c r="G6" s="32">
        <v>0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41" s="6" customFormat="1" ht="15.75" x14ac:dyDescent="0.25">
      <c r="A7" s="11">
        <v>60</v>
      </c>
      <c r="B7" s="32">
        <v>0</v>
      </c>
      <c r="C7" s="32">
        <v>0</v>
      </c>
      <c r="D7" s="32">
        <v>0</v>
      </c>
      <c r="E7" s="32">
        <v>0</v>
      </c>
      <c r="F7" s="15">
        <v>0</v>
      </c>
      <c r="G7" s="32">
        <v>0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24"/>
      <c r="T7" s="24"/>
      <c r="U7" s="24"/>
      <c r="V7" s="24"/>
      <c r="W7" s="24"/>
      <c r="X7" s="24"/>
      <c r="Y7" s="24"/>
      <c r="Z7" s="25"/>
      <c r="AA7" s="25"/>
      <c r="AB7" s="25"/>
    </row>
    <row r="8" spans="1:41" s="6" customFormat="1" ht="15.75" x14ac:dyDescent="0.25">
      <c r="A8" s="11">
        <v>75</v>
      </c>
      <c r="B8" s="32">
        <v>0</v>
      </c>
      <c r="C8" s="32">
        <v>0</v>
      </c>
      <c r="D8" s="32">
        <v>0</v>
      </c>
      <c r="E8" s="32">
        <v>0</v>
      </c>
      <c r="F8" s="15">
        <v>0</v>
      </c>
      <c r="G8" s="32">
        <v>0</v>
      </c>
      <c r="H8" s="15">
        <v>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24"/>
      <c r="T8" s="26"/>
      <c r="U8" s="24"/>
      <c r="V8" s="24"/>
      <c r="W8" s="24"/>
      <c r="X8" s="24"/>
      <c r="Y8" s="24"/>
      <c r="Z8" s="25"/>
      <c r="AA8" s="25"/>
      <c r="AB8" s="25"/>
    </row>
    <row r="9" spans="1:41" s="6" customFormat="1" ht="15.75" x14ac:dyDescent="0.25">
      <c r="A9" s="34">
        <v>90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24"/>
      <c r="T9" s="26"/>
      <c r="U9" s="24"/>
      <c r="V9" s="24"/>
      <c r="W9" s="24"/>
      <c r="X9" s="24"/>
      <c r="Y9" s="24"/>
      <c r="Z9" s="25"/>
      <c r="AA9" s="25"/>
      <c r="AB9" s="25"/>
    </row>
    <row r="10" spans="1:41" s="6" customFormat="1" ht="15.75" x14ac:dyDescent="0.25">
      <c r="A10" s="11">
        <v>105</v>
      </c>
      <c r="B10" s="32">
        <f>($B$1+B$3)*(1-TAN(RADIANS(180-$A10)/2))/TAN(RADIANS(180-$A10)/2)</f>
        <v>0.6974183575347731</v>
      </c>
      <c r="C10" s="32">
        <f t="shared" ref="C10:E13" si="0">($B$1+C$3)*(1-TAN(RADIANS(180-$A10)/2))/TAN(RADIANS(180-$A10)/2)</f>
        <v>0.7580634321030143</v>
      </c>
      <c r="D10" s="32">
        <f t="shared" si="0"/>
        <v>0.84903104395537599</v>
      </c>
      <c r="E10" s="32">
        <f t="shared" si="0"/>
        <v>0.97032119309185827</v>
      </c>
      <c r="F10" s="15">
        <v>0</v>
      </c>
      <c r="G10" s="32">
        <f t="shared" ref="G10:G13" si="1">($B$1+G$3)*(1-TAN(RADIANS(180-$A10)/2))/TAN(RADIANS(180-$A10)/2)</f>
        <v>1.1522564167965816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24"/>
      <c r="T10" s="26"/>
      <c r="U10" s="24"/>
      <c r="V10" s="24"/>
      <c r="W10" s="24"/>
      <c r="X10" s="24"/>
      <c r="Y10" s="24"/>
      <c r="Z10" s="25"/>
      <c r="AA10" s="25"/>
      <c r="AB10" s="25"/>
    </row>
    <row r="11" spans="1:41" s="6" customFormat="1" ht="15.75" x14ac:dyDescent="0.25">
      <c r="A11" s="11">
        <v>120</v>
      </c>
      <c r="B11" s="32">
        <f t="shared" ref="B11:E13" si="2">($B$1+B$3)*(1-TAN(RADIANS(180-$A11)/2))/TAN(RADIANS(180-$A11)/2)</f>
        <v>1.683716857408418</v>
      </c>
      <c r="C11" s="32">
        <f t="shared" si="0"/>
        <v>1.8301270189221934</v>
      </c>
      <c r="D11" s="32">
        <f t="shared" si="0"/>
        <v>2.0497422611928564</v>
      </c>
      <c r="E11" s="32">
        <f t="shared" si="0"/>
        <v>2.3425625842204081</v>
      </c>
      <c r="F11" s="15">
        <v>0</v>
      </c>
      <c r="G11" s="32">
        <f t="shared" si="1"/>
        <v>2.781793068761734</v>
      </c>
      <c r="H11" s="15">
        <v>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24"/>
      <c r="T11" s="26"/>
      <c r="U11" s="24"/>
      <c r="V11" s="24"/>
      <c r="W11" s="24"/>
      <c r="X11" s="24"/>
      <c r="Y11" s="24"/>
      <c r="Z11" s="25"/>
      <c r="AA11" s="25"/>
      <c r="AB11" s="25"/>
    </row>
    <row r="12" spans="1:41" s="6" customFormat="1" ht="15.75" x14ac:dyDescent="0.25">
      <c r="A12" s="11">
        <v>135</v>
      </c>
      <c r="B12" s="32">
        <f t="shared" si="2"/>
        <v>3.2526911934581184</v>
      </c>
      <c r="C12" s="32">
        <f t="shared" si="0"/>
        <v>3.5355339059327378</v>
      </c>
      <c r="D12" s="32">
        <f t="shared" si="0"/>
        <v>3.9597979746446659</v>
      </c>
      <c r="E12" s="32">
        <f t="shared" si="0"/>
        <v>4.525483399593905</v>
      </c>
      <c r="F12" s="15">
        <v>0</v>
      </c>
      <c r="G12" s="32">
        <f t="shared" si="1"/>
        <v>5.3740115370177612</v>
      </c>
      <c r="H12" s="15">
        <v>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24"/>
      <c r="T12" s="26"/>
      <c r="U12" s="24"/>
      <c r="V12" s="24"/>
      <c r="W12" s="24"/>
      <c r="X12" s="24"/>
      <c r="Y12" s="24"/>
      <c r="Z12" s="25"/>
      <c r="AA12" s="25"/>
      <c r="AB12" s="25"/>
    </row>
    <row r="13" spans="1:41" s="6" customFormat="1" ht="15.75" x14ac:dyDescent="0.25">
      <c r="A13" s="11">
        <v>150</v>
      </c>
      <c r="B13" s="32">
        <f t="shared" si="2"/>
        <v>6.2837168574084172</v>
      </c>
      <c r="C13" s="32">
        <f t="shared" si="0"/>
        <v>6.8301270189221936</v>
      </c>
      <c r="D13" s="32">
        <f t="shared" si="0"/>
        <v>7.6497422611928565</v>
      </c>
      <c r="E13" s="32">
        <f t="shared" si="0"/>
        <v>8.7425625842204084</v>
      </c>
      <c r="F13" s="15">
        <v>0</v>
      </c>
      <c r="G13" s="32">
        <f t="shared" si="1"/>
        <v>10.381793068761734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24"/>
      <c r="T13" s="26"/>
      <c r="U13" s="24"/>
      <c r="V13" s="24"/>
      <c r="W13" s="24"/>
      <c r="X13" s="24"/>
      <c r="Y13" s="24"/>
      <c r="Z13" s="25"/>
      <c r="AA13" s="25"/>
      <c r="AB13" s="25"/>
    </row>
    <row r="14" spans="1:41" s="6" customFormat="1" ht="16.5" thickBot="1" x14ac:dyDescent="0.3">
      <c r="A14" s="12"/>
      <c r="B14" s="12"/>
      <c r="O14" s="14"/>
      <c r="P14" s="14"/>
      <c r="Q14" s="14"/>
      <c r="R14" s="14"/>
      <c r="S14" s="27"/>
      <c r="T14" s="26"/>
      <c r="U14" s="24"/>
      <c r="V14" s="24"/>
      <c r="W14" s="24"/>
      <c r="X14" s="24"/>
      <c r="Y14" s="24"/>
      <c r="Z14" s="25"/>
      <c r="AA14" s="25"/>
      <c r="AB14" s="25"/>
    </row>
    <row r="15" spans="1:41" s="6" customFormat="1" ht="16.5" thickBot="1" x14ac:dyDescent="0.3">
      <c r="A15" s="8" t="s">
        <v>5</v>
      </c>
      <c r="B15" s="22">
        <v>1.5</v>
      </c>
      <c r="C15" s="17"/>
      <c r="D15" s="5"/>
      <c r="E15" s="5"/>
      <c r="F15" s="5"/>
      <c r="G15" s="5"/>
      <c r="H15" s="5"/>
      <c r="O15" s="14"/>
      <c r="P15" s="14"/>
      <c r="Q15" s="14"/>
      <c r="R15" s="14"/>
      <c r="S15" s="27"/>
      <c r="T15" s="26"/>
      <c r="U15" s="24"/>
      <c r="V15" s="24"/>
      <c r="W15" s="24"/>
      <c r="X15" s="24"/>
      <c r="Y15" s="24"/>
      <c r="Z15" s="25"/>
      <c r="AA15" s="25"/>
      <c r="AB15" s="25"/>
    </row>
    <row r="16" spans="1:41" ht="16.5" thickBot="1" x14ac:dyDescent="0.3">
      <c r="A16" s="35" t="s">
        <v>6</v>
      </c>
      <c r="B16" s="37" t="s">
        <v>8</v>
      </c>
      <c r="C16" s="38"/>
      <c r="D16" s="38"/>
      <c r="E16" s="38"/>
      <c r="F16" s="38"/>
      <c r="G16" s="38"/>
      <c r="H16" s="39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24"/>
      <c r="T16" s="26"/>
      <c r="U16" s="24"/>
      <c r="V16" s="24"/>
      <c r="W16" s="24"/>
      <c r="X16" s="24"/>
      <c r="Y16" s="24"/>
      <c r="Z16" s="28"/>
      <c r="AA16" s="28"/>
      <c r="AB16" s="28"/>
    </row>
    <row r="17" spans="1:28" ht="16.5" thickBot="1" x14ac:dyDescent="0.3">
      <c r="A17" s="36"/>
      <c r="B17" s="14">
        <v>1.1000000000000001</v>
      </c>
      <c r="C17" s="14">
        <v>1.3</v>
      </c>
      <c r="D17" s="27">
        <v>1.6</v>
      </c>
      <c r="E17" s="33">
        <v>2</v>
      </c>
      <c r="F17" s="14">
        <v>2.4</v>
      </c>
      <c r="G17" s="14">
        <v>2.6</v>
      </c>
      <c r="H17" s="14">
        <v>3.8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24"/>
      <c r="T17" s="24"/>
      <c r="U17" s="24"/>
      <c r="V17" s="24"/>
      <c r="W17" s="24"/>
      <c r="X17" s="24"/>
      <c r="Y17" s="24"/>
      <c r="Z17" s="28"/>
      <c r="AA17" s="28"/>
      <c r="AB17" s="28"/>
    </row>
    <row r="18" spans="1:28" ht="15.75" x14ac:dyDescent="0.25">
      <c r="A18" s="11">
        <v>15</v>
      </c>
      <c r="B18" s="15">
        <v>0</v>
      </c>
      <c r="C18" s="15">
        <v>0</v>
      </c>
      <c r="D18" s="15">
        <v>0</v>
      </c>
      <c r="E18" s="32">
        <v>0</v>
      </c>
      <c r="F18" s="15">
        <v>0</v>
      </c>
      <c r="G18" s="15">
        <v>0</v>
      </c>
      <c r="H18" s="15">
        <v>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24"/>
      <c r="T18" s="24"/>
      <c r="U18" s="24"/>
      <c r="V18" s="24"/>
      <c r="W18" s="24"/>
      <c r="X18" s="24"/>
      <c r="Y18" s="24"/>
      <c r="Z18" s="28"/>
      <c r="AA18" s="28"/>
      <c r="AB18" s="28"/>
    </row>
    <row r="19" spans="1:28" ht="15.75" x14ac:dyDescent="0.25">
      <c r="A19" s="11">
        <v>30</v>
      </c>
      <c r="B19" s="15">
        <v>0</v>
      </c>
      <c r="C19" s="15">
        <v>0</v>
      </c>
      <c r="D19" s="15">
        <v>0</v>
      </c>
      <c r="E19" s="32">
        <v>0</v>
      </c>
      <c r="F19" s="15">
        <v>0</v>
      </c>
      <c r="G19" s="15">
        <v>0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8" ht="15.75" x14ac:dyDescent="0.25">
      <c r="A20" s="11">
        <v>45</v>
      </c>
      <c r="B20" s="15">
        <v>0</v>
      </c>
      <c r="C20" s="15">
        <v>0</v>
      </c>
      <c r="D20" s="15">
        <v>0</v>
      </c>
      <c r="E20" s="32">
        <v>0</v>
      </c>
      <c r="F20" s="15">
        <v>0</v>
      </c>
      <c r="G20" s="15">
        <v>0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8" ht="15.75" x14ac:dyDescent="0.25">
      <c r="A21" s="11">
        <v>60</v>
      </c>
      <c r="B21" s="15">
        <v>0</v>
      </c>
      <c r="C21" s="15">
        <v>0</v>
      </c>
      <c r="D21" s="15">
        <v>0</v>
      </c>
      <c r="E21" s="32">
        <v>0</v>
      </c>
      <c r="F21" s="15">
        <v>0</v>
      </c>
      <c r="G21" s="15">
        <v>0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8" ht="15.75" x14ac:dyDescent="0.25">
      <c r="A22" s="11">
        <v>75</v>
      </c>
      <c r="B22" s="15">
        <v>0</v>
      </c>
      <c r="C22" s="15">
        <v>0</v>
      </c>
      <c r="D22" s="15">
        <v>0</v>
      </c>
      <c r="E22" s="32">
        <v>0</v>
      </c>
      <c r="F22" s="15">
        <v>0</v>
      </c>
      <c r="G22" s="15">
        <v>0</v>
      </c>
      <c r="H22" s="15">
        <v>0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8" ht="15.75" x14ac:dyDescent="0.25">
      <c r="A23" s="34">
        <v>90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8" ht="15.75" x14ac:dyDescent="0.25">
      <c r="A24" s="11">
        <v>105</v>
      </c>
      <c r="B24" s="15">
        <v>0</v>
      </c>
      <c r="C24" s="15">
        <v>0</v>
      </c>
      <c r="D24" s="15">
        <v>0</v>
      </c>
      <c r="E24" s="32">
        <f>($B$15+E$17)*(1-TAN(RADIANS(180-$A24)/2))/TAN(RADIANS(180-$A24)/2)</f>
        <v>1.06128880494422</v>
      </c>
      <c r="F24" s="15">
        <v>0</v>
      </c>
      <c r="G24" s="15">
        <v>0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8" ht="15.75" x14ac:dyDescent="0.25">
      <c r="A25" s="11">
        <v>120</v>
      </c>
      <c r="B25" s="15">
        <v>0</v>
      </c>
      <c r="C25" s="15">
        <v>0</v>
      </c>
      <c r="D25" s="15">
        <v>0</v>
      </c>
      <c r="E25" s="32">
        <f t="shared" ref="E25:E27" si="3">($B$15+E$17)*(1-TAN(RADIANS(180-$A25)/2))/TAN(RADIANS(180-$A25)/2)</f>
        <v>2.5621778264910708</v>
      </c>
      <c r="F25" s="15">
        <v>0</v>
      </c>
      <c r="G25" s="15">
        <v>0</v>
      </c>
      <c r="H25" s="15"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8" ht="15.75" x14ac:dyDescent="0.25">
      <c r="A26" s="11">
        <v>135</v>
      </c>
      <c r="B26" s="15">
        <v>0</v>
      </c>
      <c r="C26" s="15">
        <v>0</v>
      </c>
      <c r="D26" s="15">
        <v>0</v>
      </c>
      <c r="E26" s="32">
        <f t="shared" si="3"/>
        <v>4.9497474683058327</v>
      </c>
      <c r="F26" s="15">
        <v>0</v>
      </c>
      <c r="G26" s="15">
        <v>0</v>
      </c>
      <c r="H26" s="15">
        <v>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8" ht="15.75" x14ac:dyDescent="0.25">
      <c r="A27" s="11">
        <v>150</v>
      </c>
      <c r="B27" s="15">
        <v>0</v>
      </c>
      <c r="C27" s="15">
        <v>0</v>
      </c>
      <c r="D27" s="15">
        <v>0</v>
      </c>
      <c r="E27" s="32">
        <f t="shared" si="3"/>
        <v>9.5621778264910713</v>
      </c>
      <c r="F27" s="15">
        <v>0</v>
      </c>
      <c r="G27" s="15">
        <v>0</v>
      </c>
      <c r="H27" s="15">
        <v>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8" ht="16.5" thickBot="1" x14ac:dyDescent="0.3">
      <c r="A28" s="31"/>
      <c r="B28" s="2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8" ht="16.5" thickBot="1" x14ac:dyDescent="0.3">
      <c r="A29" s="8" t="s">
        <v>5</v>
      </c>
      <c r="B29" s="22">
        <v>2</v>
      </c>
      <c r="C29" s="17"/>
      <c r="D29" s="5"/>
      <c r="E29" s="5"/>
      <c r="F29" s="5"/>
      <c r="G29" s="5"/>
      <c r="H29" s="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8" ht="16.5" thickBot="1" x14ac:dyDescent="0.25">
      <c r="A30" s="35" t="s">
        <v>6</v>
      </c>
      <c r="B30" s="37" t="s">
        <v>8</v>
      </c>
      <c r="C30" s="38"/>
      <c r="D30" s="38"/>
      <c r="E30" s="38"/>
      <c r="F30" s="38"/>
      <c r="G30" s="38"/>
      <c r="H30" s="39"/>
      <c r="I30" s="24"/>
      <c r="J30" s="24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8" ht="16.5" thickBot="1" x14ac:dyDescent="0.3">
      <c r="A31" s="36"/>
      <c r="B31" s="14">
        <v>1.1000000000000001</v>
      </c>
      <c r="C31" s="14">
        <v>1.3</v>
      </c>
      <c r="D31" s="27">
        <v>1.6</v>
      </c>
      <c r="E31" s="14">
        <v>2</v>
      </c>
      <c r="F31" s="33">
        <v>2.4</v>
      </c>
      <c r="G31" s="14">
        <v>2.6</v>
      </c>
      <c r="H31" s="14">
        <v>3.8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8" ht="15.75" x14ac:dyDescent="0.25">
      <c r="A32" s="11">
        <v>15</v>
      </c>
      <c r="B32" s="15">
        <v>0</v>
      </c>
      <c r="C32" s="15">
        <v>0</v>
      </c>
      <c r="D32" s="15">
        <v>0</v>
      </c>
      <c r="E32" s="15">
        <v>0</v>
      </c>
      <c r="F32" s="32">
        <v>0</v>
      </c>
      <c r="G32" s="15">
        <v>0</v>
      </c>
      <c r="H32" s="15">
        <v>0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5.75" x14ac:dyDescent="0.25">
      <c r="A33" s="11">
        <v>30</v>
      </c>
      <c r="B33" s="15">
        <v>0</v>
      </c>
      <c r="C33" s="15">
        <v>0</v>
      </c>
      <c r="D33" s="15">
        <v>0</v>
      </c>
      <c r="E33" s="15">
        <v>0</v>
      </c>
      <c r="F33" s="32">
        <v>0</v>
      </c>
      <c r="G33" s="15">
        <v>0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5.75" x14ac:dyDescent="0.25">
      <c r="A34" s="11">
        <v>45</v>
      </c>
      <c r="B34" s="15">
        <v>0</v>
      </c>
      <c r="C34" s="15">
        <v>0</v>
      </c>
      <c r="D34" s="15">
        <v>0</v>
      </c>
      <c r="E34" s="15">
        <v>0</v>
      </c>
      <c r="F34" s="32">
        <v>0</v>
      </c>
      <c r="G34" s="15">
        <v>0</v>
      </c>
      <c r="H34" s="15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5.75" x14ac:dyDescent="0.25">
      <c r="A35" s="11">
        <v>60</v>
      </c>
      <c r="B35" s="15">
        <v>0</v>
      </c>
      <c r="C35" s="15">
        <v>0</v>
      </c>
      <c r="D35" s="15">
        <v>0</v>
      </c>
      <c r="E35" s="15">
        <v>0</v>
      </c>
      <c r="F35" s="32">
        <v>0</v>
      </c>
      <c r="G35" s="15">
        <v>0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5.75" x14ac:dyDescent="0.25">
      <c r="A36" s="11">
        <v>75</v>
      </c>
      <c r="B36" s="15">
        <v>0</v>
      </c>
      <c r="C36" s="15">
        <v>0</v>
      </c>
      <c r="D36" s="15">
        <v>0</v>
      </c>
      <c r="E36" s="15">
        <v>0</v>
      </c>
      <c r="F36" s="32">
        <v>0</v>
      </c>
      <c r="G36" s="15">
        <v>0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5.75" x14ac:dyDescent="0.25">
      <c r="A37" s="34">
        <v>90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5.75" x14ac:dyDescent="0.25">
      <c r="A38" s="11">
        <v>105</v>
      </c>
      <c r="B38" s="15">
        <v>0</v>
      </c>
      <c r="C38" s="15">
        <v>0</v>
      </c>
      <c r="D38" s="15">
        <v>0</v>
      </c>
      <c r="E38" s="15">
        <v>0</v>
      </c>
      <c r="F38" s="32">
        <f>($B$29+F$31)*(1-TAN(RADIANS(180-$A38)/2))/TAN(RADIANS(180-$A38)/2)</f>
        <v>1.334191640501305</v>
      </c>
      <c r="G38" s="15">
        <v>0</v>
      </c>
      <c r="H38" s="15">
        <v>0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5.75" x14ac:dyDescent="0.25">
      <c r="A39" s="11">
        <v>120</v>
      </c>
      <c r="B39" s="15">
        <v>0</v>
      </c>
      <c r="C39" s="15">
        <v>0</v>
      </c>
      <c r="D39" s="15">
        <v>0</v>
      </c>
      <c r="E39" s="15">
        <v>0</v>
      </c>
      <c r="F39" s="32">
        <f t="shared" ref="F39:F41" si="4">($B$29+F$31)*(1-TAN(RADIANS(180-$A39)/2))/TAN(RADIANS(180-$A39)/2)</f>
        <v>3.2210235533030604</v>
      </c>
      <c r="G39" s="15">
        <v>0</v>
      </c>
      <c r="H39" s="15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x14ac:dyDescent="0.25">
      <c r="A40" s="11">
        <v>135</v>
      </c>
      <c r="B40" s="15">
        <v>0</v>
      </c>
      <c r="C40" s="15">
        <v>0</v>
      </c>
      <c r="D40" s="15">
        <v>0</v>
      </c>
      <c r="E40" s="15">
        <v>0</v>
      </c>
      <c r="F40" s="32">
        <f t="shared" si="4"/>
        <v>6.2225396744416184</v>
      </c>
      <c r="G40" s="15">
        <v>0</v>
      </c>
      <c r="H40" s="15">
        <v>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x14ac:dyDescent="0.25">
      <c r="A41" s="11">
        <v>150</v>
      </c>
      <c r="B41" s="15">
        <v>0</v>
      </c>
      <c r="C41" s="15">
        <v>0</v>
      </c>
      <c r="D41" s="15">
        <v>0</v>
      </c>
      <c r="E41" s="15">
        <v>0</v>
      </c>
      <c r="F41" s="32">
        <f t="shared" si="4"/>
        <v>12.021023553303062</v>
      </c>
      <c r="G41" s="15">
        <v>0</v>
      </c>
      <c r="H41" s="15">
        <v>0</v>
      </c>
      <c r="I41" s="19"/>
      <c r="J41" s="19"/>
      <c r="K41" s="19"/>
      <c r="L41" s="19"/>
      <c r="M41" s="19"/>
      <c r="N41" s="19"/>
      <c r="O41" s="19"/>
      <c r="P41" s="19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6.5" thickBot="1" x14ac:dyDescent="0.3">
      <c r="A42" s="31"/>
      <c r="B42" s="21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6.5" thickBot="1" x14ac:dyDescent="0.3">
      <c r="A43" s="8" t="s">
        <v>5</v>
      </c>
      <c r="B43" s="22">
        <v>3</v>
      </c>
      <c r="C43" s="17"/>
      <c r="D43" s="5"/>
      <c r="E43" s="5"/>
      <c r="F43" s="5"/>
      <c r="G43" s="5"/>
      <c r="H43" s="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6.5" thickBot="1" x14ac:dyDescent="0.25">
      <c r="A44" s="35" t="s">
        <v>6</v>
      </c>
      <c r="B44" s="37" t="s">
        <v>8</v>
      </c>
      <c r="C44" s="38"/>
      <c r="D44" s="38"/>
      <c r="E44" s="38"/>
      <c r="F44" s="38"/>
      <c r="G44" s="38"/>
      <c r="H44" s="39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6.5" thickBot="1" x14ac:dyDescent="0.3">
      <c r="A45" s="36"/>
      <c r="B45" s="14">
        <v>1.1000000000000001</v>
      </c>
      <c r="C45" s="14">
        <v>1.3</v>
      </c>
      <c r="D45" s="27">
        <v>1.6</v>
      </c>
      <c r="E45" s="14">
        <v>2</v>
      </c>
      <c r="F45" s="14">
        <v>2.4</v>
      </c>
      <c r="G45" s="14">
        <v>2.6</v>
      </c>
      <c r="H45" s="33">
        <v>3.8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5.75" x14ac:dyDescent="0.25">
      <c r="A46" s="11">
        <v>15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32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5.75" x14ac:dyDescent="0.25">
      <c r="A47" s="11">
        <v>30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32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5.75" x14ac:dyDescent="0.25">
      <c r="A48" s="11">
        <v>45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32">
        <v>0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5.75" x14ac:dyDescent="0.25">
      <c r="A49" s="11">
        <v>60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32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5.75" x14ac:dyDescent="0.25">
      <c r="A50" s="11">
        <v>75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32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5.75" x14ac:dyDescent="0.25">
      <c r="A51" s="34">
        <v>90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5.75" x14ac:dyDescent="0.25">
      <c r="A52" s="11">
        <v>105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32">
        <f>($B$43+H$45)*(1-TAN(RADIANS(180-$A52)/2))/TAN(RADIANS(180-$A52)/2)</f>
        <v>2.0619325353201989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 x14ac:dyDescent="0.25">
      <c r="A53" s="11">
        <v>120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32">
        <f t="shared" ref="H53:H55" si="5">($B$43+H$45)*(1-TAN(RADIANS(180-$A53)/2))/TAN(RADIANS(180-$A53)/2)</f>
        <v>4.9779454914683665</v>
      </c>
    </row>
    <row r="54" spans="1:25" ht="15.75" x14ac:dyDescent="0.25">
      <c r="A54" s="11">
        <v>135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32">
        <f t="shared" si="5"/>
        <v>9.6166522241370469</v>
      </c>
    </row>
    <row r="55" spans="1:25" ht="15.75" x14ac:dyDescent="0.25">
      <c r="A55" s="11">
        <v>150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32">
        <f t="shared" si="5"/>
        <v>18.577945491468366</v>
      </c>
    </row>
  </sheetData>
  <mergeCells count="8">
    <mergeCell ref="A44:A45"/>
    <mergeCell ref="B44:H44"/>
    <mergeCell ref="A2:A3"/>
    <mergeCell ref="B2:H2"/>
    <mergeCell ref="A16:A17"/>
    <mergeCell ref="B16:H16"/>
    <mergeCell ref="A30:A31"/>
    <mergeCell ref="B30:H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Desconto Processos</vt:lpstr>
      <vt:lpstr>Acrescimo Tangente</vt:lpstr>
    </vt:vector>
  </TitlesOfParts>
  <Company>Solidworks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Byungwook Kwon</dc:creator>
  <cp:lastModifiedBy>Gabriel Moresco</cp:lastModifiedBy>
  <dcterms:created xsi:type="dcterms:W3CDTF">2001-12-18T14:51:09Z</dcterms:created>
  <dcterms:modified xsi:type="dcterms:W3CDTF">2019-10-07T18:25:13Z</dcterms:modified>
</cp:coreProperties>
</file>