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CADLIB\SW\Tabelas de Dobra\"/>
    </mc:Choice>
  </mc:AlternateContent>
  <xr:revisionPtr revIDLastSave="0" documentId="13_ncr:1_{383D20C0-CFBD-479F-8A41-A674EC0D3AD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2" r:id="rId1"/>
    <sheet name="Desconto Processos" sheetId="6" r:id="rId2"/>
    <sheet name="Acrescimo Tangente" sheetId="5" r:id="rId3"/>
  </sheets>
  <calcPr calcId="191029"/>
  <customWorkbookViews>
    <customWorkbookView name="schuenke - Modo de exibição pessoal" guid="{E6B1C790-EACE-4B54-A324-C088792CB3D1}" mergeInterval="0" personalView="1" maximized="1" windowWidth="1148" windowHeight="74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1" i="2" l="1"/>
  <c r="U101" i="2"/>
  <c r="P101" i="2"/>
  <c r="J101" i="2"/>
  <c r="H101" i="2"/>
  <c r="G101" i="2"/>
  <c r="V100" i="2"/>
  <c r="U100" i="2"/>
  <c r="P100" i="2"/>
  <c r="J100" i="2"/>
  <c r="H100" i="2"/>
  <c r="G100" i="2"/>
  <c r="V99" i="2"/>
  <c r="U99" i="2"/>
  <c r="P99" i="2"/>
  <c r="J99" i="2"/>
  <c r="H99" i="2"/>
  <c r="G99" i="2"/>
  <c r="V98" i="2"/>
  <c r="U98" i="2"/>
  <c r="P98" i="2"/>
  <c r="J98" i="2"/>
  <c r="H98" i="2"/>
  <c r="G98" i="2"/>
  <c r="V97" i="2"/>
  <c r="U97" i="2"/>
  <c r="P97" i="2"/>
  <c r="J97" i="2"/>
  <c r="H97" i="2"/>
  <c r="G97" i="2"/>
  <c r="V96" i="2"/>
  <c r="U96" i="2"/>
  <c r="P96" i="2"/>
  <c r="J96" i="2"/>
  <c r="H96" i="2"/>
  <c r="G96" i="2"/>
  <c r="V95" i="2"/>
  <c r="U95" i="2"/>
  <c r="P95" i="2"/>
  <c r="J95" i="2"/>
  <c r="H95" i="2"/>
  <c r="G95" i="2"/>
  <c r="V94" i="2"/>
  <c r="U94" i="2"/>
  <c r="P94" i="2"/>
  <c r="J94" i="2"/>
  <c r="H94" i="2"/>
  <c r="G94" i="2"/>
  <c r="V93" i="2"/>
  <c r="U93" i="2"/>
  <c r="P93" i="2"/>
  <c r="J93" i="2"/>
  <c r="H93" i="2"/>
  <c r="G93" i="2"/>
  <c r="V92" i="2"/>
  <c r="U92" i="2"/>
  <c r="P92" i="2"/>
  <c r="J92" i="2"/>
  <c r="H92" i="2"/>
  <c r="G92" i="2"/>
  <c r="V91" i="2"/>
  <c r="U91" i="2"/>
  <c r="P91" i="2"/>
  <c r="J91" i="2"/>
  <c r="H91" i="2"/>
  <c r="G91" i="2"/>
  <c r="V90" i="2"/>
  <c r="U90" i="2"/>
  <c r="P90" i="2"/>
  <c r="J90" i="2"/>
  <c r="H90" i="2"/>
  <c r="G90" i="2"/>
  <c r="V89" i="2"/>
  <c r="U89" i="2"/>
  <c r="P89" i="2"/>
  <c r="J89" i="2"/>
  <c r="H89" i="2"/>
  <c r="G89" i="2"/>
  <c r="V88" i="2"/>
  <c r="U88" i="2"/>
  <c r="P88" i="2"/>
  <c r="J88" i="2"/>
  <c r="H88" i="2"/>
  <c r="G88" i="2"/>
  <c r="V87" i="2"/>
  <c r="U87" i="2"/>
  <c r="P87" i="2"/>
  <c r="J87" i="2"/>
  <c r="H87" i="2"/>
  <c r="G87" i="2"/>
  <c r="V86" i="2"/>
  <c r="U86" i="2"/>
  <c r="P86" i="2"/>
  <c r="J86" i="2"/>
  <c r="H86" i="2"/>
  <c r="G86" i="2"/>
  <c r="V85" i="2"/>
  <c r="U85" i="2"/>
  <c r="P85" i="2"/>
  <c r="J85" i="2"/>
  <c r="H85" i="2"/>
  <c r="G85" i="2"/>
  <c r="V84" i="2"/>
  <c r="U84" i="2"/>
  <c r="P84" i="2"/>
  <c r="J84" i="2"/>
  <c r="H84" i="2"/>
  <c r="G84" i="2"/>
  <c r="V83" i="2"/>
  <c r="U83" i="2"/>
  <c r="P83" i="2"/>
  <c r="J83" i="2"/>
  <c r="H83" i="2"/>
  <c r="G83" i="2"/>
  <c r="V82" i="2"/>
  <c r="U82" i="2"/>
  <c r="P82" i="2"/>
  <c r="J82" i="2"/>
  <c r="H82" i="2"/>
  <c r="G82" i="2"/>
  <c r="V81" i="2"/>
  <c r="U81" i="2"/>
  <c r="P81" i="2"/>
  <c r="J81" i="2"/>
  <c r="H81" i="2"/>
  <c r="G81" i="2"/>
  <c r="V80" i="2"/>
  <c r="U80" i="2"/>
  <c r="P80" i="2"/>
  <c r="J80" i="2"/>
  <c r="H80" i="2"/>
  <c r="G80" i="2"/>
  <c r="V79" i="2"/>
  <c r="U79" i="2"/>
  <c r="P79" i="2"/>
  <c r="J79" i="2"/>
  <c r="H79" i="2"/>
  <c r="G79" i="2"/>
  <c r="V78" i="2"/>
  <c r="U78" i="2"/>
  <c r="P78" i="2"/>
  <c r="J78" i="2"/>
  <c r="H78" i="2"/>
  <c r="G78" i="2"/>
  <c r="V77" i="2"/>
  <c r="U77" i="2"/>
  <c r="P77" i="2"/>
  <c r="J77" i="2"/>
  <c r="H77" i="2"/>
  <c r="G77" i="2"/>
  <c r="V76" i="2"/>
  <c r="U76" i="2"/>
  <c r="P76" i="2"/>
  <c r="J76" i="2"/>
  <c r="H76" i="2"/>
  <c r="G76" i="2"/>
  <c r="V75" i="2"/>
  <c r="U75" i="2"/>
  <c r="P75" i="2"/>
  <c r="J75" i="2"/>
  <c r="H75" i="2"/>
  <c r="G75" i="2"/>
  <c r="V74" i="2"/>
  <c r="U74" i="2"/>
  <c r="P74" i="2"/>
  <c r="J74" i="2"/>
  <c r="H74" i="2"/>
  <c r="G74" i="2"/>
  <c r="Q189" i="5"/>
  <c r="M189" i="5"/>
  <c r="J189" i="5"/>
  <c r="C57" i="2"/>
  <c r="C51" i="2"/>
  <c r="C48" i="2"/>
  <c r="C45" i="2"/>
  <c r="C42" i="2"/>
  <c r="N57" i="2" l="1"/>
  <c r="N51" i="2"/>
  <c r="N48" i="2"/>
  <c r="N45" i="2"/>
  <c r="N42" i="2"/>
  <c r="K57" i="2"/>
  <c r="K51" i="2"/>
  <c r="K48" i="2"/>
  <c r="K45" i="2"/>
  <c r="K42" i="2"/>
  <c r="H57" i="2"/>
  <c r="H51" i="2"/>
  <c r="H48" i="2"/>
  <c r="H45" i="2"/>
  <c r="H42" i="2"/>
  <c r="F57" i="2"/>
  <c r="F51" i="2"/>
  <c r="F48" i="2"/>
  <c r="F45" i="2"/>
  <c r="F42" i="2"/>
  <c r="R216" i="2" l="1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V120" i="2"/>
  <c r="U120" i="2"/>
  <c r="V119" i="2"/>
  <c r="U119" i="2"/>
  <c r="V118" i="2"/>
  <c r="U118" i="2"/>
  <c r="V117" i="2"/>
  <c r="U117" i="2"/>
  <c r="V116" i="2"/>
  <c r="U116" i="2"/>
  <c r="V115" i="2"/>
  <c r="U115" i="2"/>
  <c r="V114" i="2"/>
  <c r="U114" i="2"/>
  <c r="V113" i="2"/>
  <c r="U113" i="2"/>
  <c r="V112" i="2"/>
  <c r="U112" i="2"/>
  <c r="V111" i="2"/>
  <c r="U111" i="2"/>
  <c r="V110" i="2"/>
  <c r="U110" i="2"/>
  <c r="V109" i="2"/>
  <c r="U109" i="2"/>
  <c r="V108" i="2"/>
  <c r="U108" i="2"/>
  <c r="V107" i="2"/>
  <c r="U107" i="2"/>
  <c r="V106" i="2"/>
  <c r="U106" i="2"/>
  <c r="V105" i="2"/>
  <c r="U105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X10" i="2"/>
  <c r="W10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J180" i="5" l="1"/>
  <c r="K217" i="2" s="1"/>
  <c r="M180" i="5"/>
  <c r="N217" i="2" s="1"/>
  <c r="Q180" i="5"/>
  <c r="R217" i="2" s="1"/>
  <c r="J181" i="5"/>
  <c r="K218" i="2" s="1"/>
  <c r="M181" i="5"/>
  <c r="N218" i="2" s="1"/>
  <c r="Q181" i="5"/>
  <c r="R218" i="2" s="1"/>
  <c r="J182" i="5"/>
  <c r="K219" i="2" s="1"/>
  <c r="M182" i="5"/>
  <c r="N219" i="2" s="1"/>
  <c r="Q182" i="5"/>
  <c r="R219" i="2" s="1"/>
  <c r="J183" i="5"/>
  <c r="K220" i="2" s="1"/>
  <c r="M183" i="5"/>
  <c r="N220" i="2" s="1"/>
  <c r="Q183" i="5"/>
  <c r="R220" i="2" s="1"/>
  <c r="J184" i="5"/>
  <c r="K221" i="2" s="1"/>
  <c r="M184" i="5"/>
  <c r="N221" i="2" s="1"/>
  <c r="Q184" i="5"/>
  <c r="R221" i="2" s="1"/>
  <c r="J185" i="5"/>
  <c r="K222" i="2" s="1"/>
  <c r="M185" i="5"/>
  <c r="N222" i="2" s="1"/>
  <c r="Q185" i="5"/>
  <c r="R222" i="2" s="1"/>
  <c r="J186" i="5"/>
  <c r="K223" i="2" s="1"/>
  <c r="M186" i="5"/>
  <c r="N223" i="2" s="1"/>
  <c r="Q186" i="5"/>
  <c r="R223" i="2" s="1"/>
  <c r="J187" i="5"/>
  <c r="K224" i="2" s="1"/>
  <c r="M187" i="5"/>
  <c r="N224" i="2" s="1"/>
  <c r="Q187" i="5"/>
  <c r="R224" i="2" s="1"/>
  <c r="J188" i="5"/>
  <c r="K225" i="2" s="1"/>
  <c r="M188" i="5"/>
  <c r="N225" i="2" s="1"/>
  <c r="Q188" i="5"/>
  <c r="R225" i="2" s="1"/>
  <c r="K226" i="2"/>
  <c r="N226" i="2"/>
  <c r="R226" i="2"/>
  <c r="I148" i="5"/>
  <c r="J185" i="2" s="1"/>
  <c r="K148" i="5"/>
  <c r="L185" i="2" s="1"/>
  <c r="N148" i="5"/>
  <c r="O185" i="2" s="1"/>
  <c r="P148" i="5"/>
  <c r="Q185" i="2" s="1"/>
  <c r="I149" i="5"/>
  <c r="J186" i="2" s="1"/>
  <c r="K149" i="5"/>
  <c r="L186" i="2" s="1"/>
  <c r="N149" i="5"/>
  <c r="O186" i="2" s="1"/>
  <c r="P149" i="5"/>
  <c r="Q186" i="2" s="1"/>
  <c r="I150" i="5"/>
  <c r="J187" i="2" s="1"/>
  <c r="K150" i="5"/>
  <c r="L187" i="2" s="1"/>
  <c r="N150" i="5"/>
  <c r="O187" i="2" s="1"/>
  <c r="P150" i="5"/>
  <c r="Q187" i="2" s="1"/>
  <c r="I151" i="5"/>
  <c r="J188" i="2" s="1"/>
  <c r="K151" i="5"/>
  <c r="L188" i="2" s="1"/>
  <c r="N151" i="5"/>
  <c r="O188" i="2" s="1"/>
  <c r="P151" i="5"/>
  <c r="Q188" i="2" s="1"/>
  <c r="I152" i="5"/>
  <c r="J189" i="2" s="1"/>
  <c r="K152" i="5"/>
  <c r="L189" i="2" s="1"/>
  <c r="N152" i="5"/>
  <c r="O189" i="2" s="1"/>
  <c r="P152" i="5"/>
  <c r="Q189" i="2" s="1"/>
  <c r="I153" i="5"/>
  <c r="J190" i="2" s="1"/>
  <c r="K153" i="5"/>
  <c r="L190" i="2" s="1"/>
  <c r="N153" i="5"/>
  <c r="O190" i="2" s="1"/>
  <c r="P153" i="5"/>
  <c r="Q190" i="2" s="1"/>
  <c r="I154" i="5"/>
  <c r="J191" i="2" s="1"/>
  <c r="K154" i="5"/>
  <c r="L191" i="2" s="1"/>
  <c r="N154" i="5"/>
  <c r="O191" i="2" s="1"/>
  <c r="P154" i="5"/>
  <c r="Q191" i="2" s="1"/>
  <c r="I155" i="5"/>
  <c r="J192" i="2" s="1"/>
  <c r="K155" i="5"/>
  <c r="L192" i="2" s="1"/>
  <c r="N155" i="5"/>
  <c r="O192" i="2" s="1"/>
  <c r="P155" i="5"/>
  <c r="Q192" i="2" s="1"/>
  <c r="I156" i="5"/>
  <c r="J193" i="2" s="1"/>
  <c r="K156" i="5"/>
  <c r="L193" i="2" s="1"/>
  <c r="N156" i="5"/>
  <c r="O193" i="2" s="1"/>
  <c r="P156" i="5"/>
  <c r="Q193" i="2" s="1"/>
  <c r="I157" i="5"/>
  <c r="J194" i="2" s="1"/>
  <c r="K157" i="5"/>
  <c r="L194" i="2" s="1"/>
  <c r="N157" i="5"/>
  <c r="O194" i="2" s="1"/>
  <c r="P157" i="5"/>
  <c r="Q194" i="2" s="1"/>
  <c r="I158" i="5"/>
  <c r="J195" i="2" s="1"/>
  <c r="K158" i="5"/>
  <c r="L195" i="2" s="1"/>
  <c r="N158" i="5"/>
  <c r="O195" i="2" s="1"/>
  <c r="P158" i="5"/>
  <c r="Q195" i="2" s="1"/>
  <c r="I159" i="5"/>
  <c r="J196" i="2" s="1"/>
  <c r="K159" i="5"/>
  <c r="L196" i="2" s="1"/>
  <c r="N159" i="5"/>
  <c r="O196" i="2" s="1"/>
  <c r="P159" i="5"/>
  <c r="Q196" i="2" s="1"/>
  <c r="D116" i="5"/>
  <c r="E153" i="2" s="1"/>
  <c r="E116" i="5"/>
  <c r="F153" i="2" s="1"/>
  <c r="H116" i="5"/>
  <c r="I153" i="2" s="1"/>
  <c r="I116" i="5"/>
  <c r="J153" i="2" s="1"/>
  <c r="M116" i="5"/>
  <c r="N153" i="2" s="1"/>
  <c r="R116" i="5"/>
  <c r="S153" i="2" s="1"/>
  <c r="D117" i="5"/>
  <c r="E154" i="2" s="1"/>
  <c r="E117" i="5"/>
  <c r="F154" i="2" s="1"/>
  <c r="H117" i="5"/>
  <c r="I154" i="2" s="1"/>
  <c r="I117" i="5"/>
  <c r="J154" i="2" s="1"/>
  <c r="M117" i="5"/>
  <c r="N154" i="2" s="1"/>
  <c r="R117" i="5"/>
  <c r="S154" i="2" s="1"/>
  <c r="D118" i="5"/>
  <c r="E155" i="2" s="1"/>
  <c r="E118" i="5"/>
  <c r="F155" i="2" s="1"/>
  <c r="H118" i="5"/>
  <c r="I155" i="2" s="1"/>
  <c r="I118" i="5"/>
  <c r="J155" i="2" s="1"/>
  <c r="M118" i="5"/>
  <c r="N155" i="2" s="1"/>
  <c r="R118" i="5"/>
  <c r="S155" i="2" s="1"/>
  <c r="D119" i="5"/>
  <c r="E156" i="2" s="1"/>
  <c r="E119" i="5"/>
  <c r="F156" i="2" s="1"/>
  <c r="H119" i="5"/>
  <c r="I156" i="2" s="1"/>
  <c r="I119" i="5"/>
  <c r="J156" i="2" s="1"/>
  <c r="M119" i="5"/>
  <c r="N156" i="2" s="1"/>
  <c r="R119" i="5"/>
  <c r="S156" i="2" s="1"/>
  <c r="D120" i="5"/>
  <c r="E157" i="2" s="1"/>
  <c r="E120" i="5"/>
  <c r="F157" i="2" s="1"/>
  <c r="H120" i="5"/>
  <c r="I157" i="2" s="1"/>
  <c r="I120" i="5"/>
  <c r="J157" i="2" s="1"/>
  <c r="M120" i="5"/>
  <c r="N157" i="2" s="1"/>
  <c r="R120" i="5"/>
  <c r="S157" i="2" s="1"/>
  <c r="D121" i="5"/>
  <c r="E158" i="2" s="1"/>
  <c r="E121" i="5"/>
  <c r="F158" i="2" s="1"/>
  <c r="H121" i="5"/>
  <c r="I158" i="2" s="1"/>
  <c r="I121" i="5"/>
  <c r="J158" i="2" s="1"/>
  <c r="M121" i="5"/>
  <c r="N158" i="2" s="1"/>
  <c r="R121" i="5"/>
  <c r="S158" i="2" s="1"/>
  <c r="D122" i="5"/>
  <c r="E159" i="2" s="1"/>
  <c r="E122" i="5"/>
  <c r="F159" i="2" s="1"/>
  <c r="H122" i="5"/>
  <c r="I159" i="2" s="1"/>
  <c r="I122" i="5"/>
  <c r="J159" i="2" s="1"/>
  <c r="M122" i="5"/>
  <c r="N159" i="2" s="1"/>
  <c r="R122" i="5"/>
  <c r="S159" i="2" s="1"/>
  <c r="D123" i="5"/>
  <c r="E160" i="2" s="1"/>
  <c r="E123" i="5"/>
  <c r="F160" i="2" s="1"/>
  <c r="H123" i="5"/>
  <c r="I160" i="2" s="1"/>
  <c r="I123" i="5"/>
  <c r="J160" i="2" s="1"/>
  <c r="M123" i="5"/>
  <c r="N160" i="2" s="1"/>
  <c r="R123" i="5"/>
  <c r="S160" i="2" s="1"/>
  <c r="D124" i="5"/>
  <c r="E161" i="2" s="1"/>
  <c r="E124" i="5"/>
  <c r="F161" i="2" s="1"/>
  <c r="H124" i="5"/>
  <c r="I161" i="2" s="1"/>
  <c r="I124" i="5"/>
  <c r="J161" i="2" s="1"/>
  <c r="M124" i="5"/>
  <c r="N161" i="2" s="1"/>
  <c r="R124" i="5"/>
  <c r="S161" i="2" s="1"/>
  <c r="D125" i="5"/>
  <c r="E162" i="2" s="1"/>
  <c r="E125" i="5"/>
  <c r="F162" i="2" s="1"/>
  <c r="H125" i="5"/>
  <c r="I162" i="2" s="1"/>
  <c r="I125" i="5"/>
  <c r="J162" i="2" s="1"/>
  <c r="M125" i="5"/>
  <c r="N162" i="2" s="1"/>
  <c r="R125" i="5"/>
  <c r="S162" i="2" s="1"/>
  <c r="D126" i="5"/>
  <c r="E163" i="2" s="1"/>
  <c r="E126" i="5"/>
  <c r="F163" i="2" s="1"/>
  <c r="H126" i="5"/>
  <c r="I163" i="2" s="1"/>
  <c r="I126" i="5"/>
  <c r="J163" i="2" s="1"/>
  <c r="M126" i="5"/>
  <c r="N163" i="2" s="1"/>
  <c r="R126" i="5"/>
  <c r="S163" i="2" s="1"/>
  <c r="D127" i="5"/>
  <c r="E164" i="2" s="1"/>
  <c r="E127" i="5"/>
  <c r="F164" i="2" s="1"/>
  <c r="H127" i="5"/>
  <c r="I164" i="2" s="1"/>
  <c r="I127" i="5"/>
  <c r="J164" i="2" s="1"/>
  <c r="M127" i="5"/>
  <c r="N164" i="2" s="1"/>
  <c r="R127" i="5"/>
  <c r="S164" i="2" s="1"/>
  <c r="F84" i="5"/>
  <c r="G121" i="2" s="1"/>
  <c r="G84" i="5"/>
  <c r="H121" i="2" s="1"/>
  <c r="I84" i="5"/>
  <c r="J121" i="2" s="1"/>
  <c r="O84" i="5"/>
  <c r="P121" i="2" s="1"/>
  <c r="T84" i="5"/>
  <c r="U121" i="2" s="1"/>
  <c r="U84" i="5"/>
  <c r="V121" i="2" s="1"/>
  <c r="F85" i="5"/>
  <c r="G122" i="2" s="1"/>
  <c r="G85" i="5"/>
  <c r="H122" i="2" s="1"/>
  <c r="I85" i="5"/>
  <c r="J122" i="2" s="1"/>
  <c r="O85" i="5"/>
  <c r="P122" i="2" s="1"/>
  <c r="T85" i="5"/>
  <c r="U122" i="2" s="1"/>
  <c r="U85" i="5"/>
  <c r="V122" i="2" s="1"/>
  <c r="F86" i="5"/>
  <c r="G123" i="2" s="1"/>
  <c r="G86" i="5"/>
  <c r="H123" i="2" s="1"/>
  <c r="I86" i="5"/>
  <c r="J123" i="2" s="1"/>
  <c r="O86" i="5"/>
  <c r="P123" i="2" s="1"/>
  <c r="T86" i="5"/>
  <c r="U123" i="2" s="1"/>
  <c r="U86" i="5"/>
  <c r="V123" i="2" s="1"/>
  <c r="F87" i="5"/>
  <c r="G124" i="2" s="1"/>
  <c r="G87" i="5"/>
  <c r="H124" i="2" s="1"/>
  <c r="I87" i="5"/>
  <c r="J124" i="2" s="1"/>
  <c r="O87" i="5"/>
  <c r="P124" i="2" s="1"/>
  <c r="T87" i="5"/>
  <c r="U124" i="2" s="1"/>
  <c r="U87" i="5"/>
  <c r="V124" i="2" s="1"/>
  <c r="F88" i="5"/>
  <c r="G125" i="2" s="1"/>
  <c r="G88" i="5"/>
  <c r="H125" i="2" s="1"/>
  <c r="I88" i="5"/>
  <c r="J125" i="2" s="1"/>
  <c r="O88" i="5"/>
  <c r="P125" i="2" s="1"/>
  <c r="T88" i="5"/>
  <c r="U125" i="2" s="1"/>
  <c r="U88" i="5"/>
  <c r="V125" i="2" s="1"/>
  <c r="F89" i="5"/>
  <c r="G126" i="2" s="1"/>
  <c r="G89" i="5"/>
  <c r="H126" i="2" s="1"/>
  <c r="I89" i="5"/>
  <c r="J126" i="2" s="1"/>
  <c r="O89" i="5"/>
  <c r="P126" i="2" s="1"/>
  <c r="T89" i="5"/>
  <c r="U126" i="2" s="1"/>
  <c r="U89" i="5"/>
  <c r="V126" i="2" s="1"/>
  <c r="F90" i="5"/>
  <c r="G127" i="2" s="1"/>
  <c r="G90" i="5"/>
  <c r="H127" i="2" s="1"/>
  <c r="I90" i="5"/>
  <c r="J127" i="2" s="1"/>
  <c r="O90" i="5"/>
  <c r="P127" i="2" s="1"/>
  <c r="T90" i="5"/>
  <c r="U127" i="2" s="1"/>
  <c r="U90" i="5"/>
  <c r="V127" i="2" s="1"/>
  <c r="F91" i="5"/>
  <c r="G128" i="2" s="1"/>
  <c r="G91" i="5"/>
  <c r="H128" i="2" s="1"/>
  <c r="I91" i="5"/>
  <c r="J128" i="2" s="1"/>
  <c r="O91" i="5"/>
  <c r="P128" i="2" s="1"/>
  <c r="T91" i="5"/>
  <c r="U128" i="2" s="1"/>
  <c r="U91" i="5"/>
  <c r="V128" i="2" s="1"/>
  <c r="F92" i="5"/>
  <c r="G129" i="2" s="1"/>
  <c r="G92" i="5"/>
  <c r="H129" i="2" s="1"/>
  <c r="I92" i="5"/>
  <c r="J129" i="2" s="1"/>
  <c r="O92" i="5"/>
  <c r="P129" i="2" s="1"/>
  <c r="T92" i="5"/>
  <c r="U129" i="2" s="1"/>
  <c r="U92" i="5"/>
  <c r="V129" i="2" s="1"/>
  <c r="F93" i="5"/>
  <c r="G130" i="2" s="1"/>
  <c r="G93" i="5"/>
  <c r="H130" i="2" s="1"/>
  <c r="I93" i="5"/>
  <c r="J130" i="2" s="1"/>
  <c r="O93" i="5"/>
  <c r="P130" i="2" s="1"/>
  <c r="T93" i="5"/>
  <c r="U130" i="2" s="1"/>
  <c r="U93" i="5"/>
  <c r="V130" i="2" s="1"/>
  <c r="F94" i="5"/>
  <c r="G131" i="2" s="1"/>
  <c r="G94" i="5"/>
  <c r="H131" i="2" s="1"/>
  <c r="I94" i="5"/>
  <c r="J131" i="2" s="1"/>
  <c r="O94" i="5"/>
  <c r="P131" i="2" s="1"/>
  <c r="T94" i="5"/>
  <c r="U131" i="2" s="1"/>
  <c r="U94" i="5"/>
  <c r="V131" i="2" s="1"/>
  <c r="F95" i="5"/>
  <c r="G132" i="2" s="1"/>
  <c r="G95" i="5"/>
  <c r="H132" i="2" s="1"/>
  <c r="I95" i="5"/>
  <c r="J132" i="2" s="1"/>
  <c r="O95" i="5"/>
  <c r="P132" i="2" s="1"/>
  <c r="T95" i="5"/>
  <c r="U132" i="2" s="1"/>
  <c r="U95" i="5"/>
  <c r="V132" i="2" s="1"/>
  <c r="B54" i="5"/>
  <c r="C60" i="2" s="1"/>
  <c r="E54" i="5"/>
  <c r="F60" i="2" s="1"/>
  <c r="G54" i="5"/>
  <c r="H60" i="2" s="1"/>
  <c r="J54" i="5"/>
  <c r="K60" i="2" s="1"/>
  <c r="M54" i="5"/>
  <c r="N60" i="2" s="1"/>
  <c r="B57" i="5"/>
  <c r="E57" i="5"/>
  <c r="G57" i="5"/>
  <c r="J57" i="5"/>
  <c r="M57" i="5"/>
  <c r="B60" i="5"/>
  <c r="C66" i="2" s="1"/>
  <c r="E60" i="5"/>
  <c r="F66" i="2" s="1"/>
  <c r="G60" i="5"/>
  <c r="H66" i="2" s="1"/>
  <c r="J60" i="5"/>
  <c r="K66" i="2" s="1"/>
  <c r="M60" i="5"/>
  <c r="N66" i="2" s="1"/>
  <c r="B63" i="5"/>
  <c r="C69" i="2" s="1"/>
  <c r="E63" i="5"/>
  <c r="F69" i="2" s="1"/>
  <c r="G63" i="5"/>
  <c r="H69" i="2" s="1"/>
  <c r="J63" i="5"/>
  <c r="K69" i="2" s="1"/>
  <c r="M63" i="5"/>
  <c r="N69" i="2" s="1"/>
  <c r="C20" i="5"/>
  <c r="D26" i="2" s="1"/>
  <c r="F20" i="5"/>
  <c r="G26" i="2" s="1"/>
  <c r="I20" i="5"/>
  <c r="J26" i="2" s="1"/>
  <c r="L20" i="5"/>
  <c r="M26" i="2" s="1"/>
  <c r="S20" i="5"/>
  <c r="T26" i="2" s="1"/>
  <c r="V20" i="5"/>
  <c r="W26" i="2" s="1"/>
  <c r="W20" i="5"/>
  <c r="X26" i="2" s="1"/>
  <c r="C21" i="5"/>
  <c r="D27" i="2" s="1"/>
  <c r="F21" i="5"/>
  <c r="G27" i="2" s="1"/>
  <c r="I21" i="5"/>
  <c r="J27" i="2" s="1"/>
  <c r="L21" i="5"/>
  <c r="M27" i="2" s="1"/>
  <c r="S21" i="5"/>
  <c r="T27" i="2" s="1"/>
  <c r="V21" i="5"/>
  <c r="W27" i="2" s="1"/>
  <c r="W21" i="5"/>
  <c r="X27" i="2" s="1"/>
  <c r="C22" i="5"/>
  <c r="D28" i="2" s="1"/>
  <c r="F22" i="5"/>
  <c r="G28" i="2" s="1"/>
  <c r="I22" i="5"/>
  <c r="J28" i="2" s="1"/>
  <c r="L22" i="5"/>
  <c r="M28" i="2" s="1"/>
  <c r="S22" i="5"/>
  <c r="T28" i="2" s="1"/>
  <c r="V22" i="5"/>
  <c r="W28" i="2" s="1"/>
  <c r="W22" i="5"/>
  <c r="X28" i="2" s="1"/>
  <c r="C23" i="5"/>
  <c r="D29" i="2" s="1"/>
  <c r="F23" i="5"/>
  <c r="G29" i="2" s="1"/>
  <c r="I23" i="5"/>
  <c r="J29" i="2" s="1"/>
  <c r="L23" i="5"/>
  <c r="M29" i="2" s="1"/>
  <c r="S23" i="5"/>
  <c r="T29" i="2" s="1"/>
  <c r="V23" i="5"/>
  <c r="W29" i="2" s="1"/>
  <c r="W23" i="5"/>
  <c r="X29" i="2" s="1"/>
  <c r="C24" i="5"/>
  <c r="D30" i="2" s="1"/>
  <c r="F24" i="5"/>
  <c r="G30" i="2" s="1"/>
  <c r="I24" i="5"/>
  <c r="J30" i="2" s="1"/>
  <c r="L24" i="5"/>
  <c r="M30" i="2" s="1"/>
  <c r="S24" i="5"/>
  <c r="T30" i="2" s="1"/>
  <c r="V24" i="5"/>
  <c r="W30" i="2" s="1"/>
  <c r="W24" i="5"/>
  <c r="X30" i="2" s="1"/>
  <c r="C25" i="5"/>
  <c r="D31" i="2" s="1"/>
  <c r="F25" i="5"/>
  <c r="G31" i="2" s="1"/>
  <c r="I25" i="5"/>
  <c r="J31" i="2" s="1"/>
  <c r="L25" i="5"/>
  <c r="M31" i="2" s="1"/>
  <c r="S25" i="5"/>
  <c r="T31" i="2" s="1"/>
  <c r="V25" i="5"/>
  <c r="W31" i="2" s="1"/>
  <c r="W25" i="5"/>
  <c r="X31" i="2" s="1"/>
  <c r="C26" i="5"/>
  <c r="D32" i="2" s="1"/>
  <c r="F26" i="5"/>
  <c r="G32" i="2" s="1"/>
  <c r="I26" i="5"/>
  <c r="J32" i="2" s="1"/>
  <c r="L26" i="5"/>
  <c r="M32" i="2" s="1"/>
  <c r="S26" i="5"/>
  <c r="T32" i="2" s="1"/>
  <c r="V26" i="5"/>
  <c r="W32" i="2" s="1"/>
  <c r="W26" i="5"/>
  <c r="X32" i="2" s="1"/>
  <c r="C27" i="5"/>
  <c r="D33" i="2" s="1"/>
  <c r="F27" i="5"/>
  <c r="G33" i="2" s="1"/>
  <c r="I27" i="5"/>
  <c r="J33" i="2" s="1"/>
  <c r="L27" i="5"/>
  <c r="M33" i="2" s="1"/>
  <c r="S27" i="5"/>
  <c r="T33" i="2" s="1"/>
  <c r="V27" i="5"/>
  <c r="W33" i="2" s="1"/>
  <c r="W27" i="5"/>
  <c r="X33" i="2" s="1"/>
  <c r="C28" i="5"/>
  <c r="D34" i="2" s="1"/>
  <c r="F28" i="5"/>
  <c r="G34" i="2" s="1"/>
  <c r="I28" i="5"/>
  <c r="J34" i="2" s="1"/>
  <c r="L28" i="5"/>
  <c r="M34" i="2" s="1"/>
  <c r="S28" i="5"/>
  <c r="T34" i="2" s="1"/>
  <c r="V28" i="5"/>
  <c r="W34" i="2" s="1"/>
  <c r="W28" i="5"/>
  <c r="X34" i="2" s="1"/>
  <c r="C29" i="5"/>
  <c r="D35" i="2" s="1"/>
  <c r="F29" i="5"/>
  <c r="G35" i="2" s="1"/>
  <c r="I29" i="5"/>
  <c r="J35" i="2" s="1"/>
  <c r="L29" i="5"/>
  <c r="M35" i="2" s="1"/>
  <c r="S29" i="5"/>
  <c r="T35" i="2" s="1"/>
  <c r="V29" i="5"/>
  <c r="W35" i="2" s="1"/>
  <c r="W29" i="5"/>
  <c r="X35" i="2" s="1"/>
  <c r="C30" i="5"/>
  <c r="D36" i="2" s="1"/>
  <c r="F30" i="5"/>
  <c r="G36" i="2" s="1"/>
  <c r="I30" i="5"/>
  <c r="J36" i="2" s="1"/>
  <c r="L30" i="5"/>
  <c r="M36" i="2" s="1"/>
  <c r="S30" i="5"/>
  <c r="T36" i="2" s="1"/>
  <c r="V30" i="5"/>
  <c r="W36" i="2" s="1"/>
  <c r="W30" i="5"/>
  <c r="X36" i="2" s="1"/>
  <c r="C31" i="5"/>
  <c r="D37" i="2" s="1"/>
  <c r="F31" i="5"/>
  <c r="G37" i="2" s="1"/>
  <c r="I31" i="5"/>
  <c r="J37" i="2" s="1"/>
  <c r="L31" i="5"/>
  <c r="M37" i="2" s="1"/>
  <c r="S31" i="5"/>
  <c r="T37" i="2" s="1"/>
  <c r="V31" i="5"/>
  <c r="W37" i="2" s="1"/>
  <c r="W31" i="5"/>
  <c r="X37" i="2" s="1"/>
  <c r="N54" i="2" l="1"/>
  <c r="N63" i="2"/>
  <c r="K54" i="2"/>
  <c r="K63" i="2"/>
  <c r="H54" i="2"/>
  <c r="H63" i="2"/>
  <c r="F54" i="2"/>
  <c r="F63" i="2"/>
  <c r="C54" i="2"/>
  <c r="C63" i="2"/>
</calcChain>
</file>

<file path=xl/sharedStrings.xml><?xml version="1.0" encoding="utf-8"?>
<sst xmlns="http://schemas.openxmlformats.org/spreadsheetml/2006/main" count="60" uniqueCount="21">
  <si>
    <t>Unit:</t>
  </si>
  <si>
    <t>Millimeters</t>
  </si>
  <si>
    <t xml:space="preserve">Type: </t>
  </si>
  <si>
    <t>Bend Deduction</t>
  </si>
  <si>
    <t>Material:</t>
  </si>
  <si>
    <t>Thickness:</t>
  </si>
  <si>
    <t>Angle</t>
  </si>
  <si>
    <t>Radius</t>
  </si>
  <si>
    <t>Aço</t>
  </si>
  <si>
    <t xml:space="preserve"> </t>
  </si>
  <si>
    <t>ESPESSURA ( S )</t>
  </si>
  <si>
    <t xml:space="preserve">0,95 mm    </t>
  </si>
  <si>
    <t xml:space="preserve">1.2 mm     </t>
  </si>
  <si>
    <t xml:space="preserve">1.5 mm     </t>
  </si>
  <si>
    <t xml:space="preserve">1.9 mm  </t>
  </si>
  <si>
    <t xml:space="preserve">2.66 mm  </t>
  </si>
  <si>
    <t xml:space="preserve">3,04 mm </t>
  </si>
  <si>
    <t>MATRIZ ( V )</t>
  </si>
  <si>
    <t>RAIO ( R )</t>
  </si>
  <si>
    <t>ÂNGULO ( b)</t>
  </si>
  <si>
    <t>ENCURTAMENTO       ( ∆L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</si>
</sst>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0"/>
    <numFmt numFmtId="166" formatCode="0.0"/>
    <numFmt numFmtId="167" formatCode="_(&quot;R$ &quot;* #,##0.00_);_(&quot;R$ &quot;* \(#,##0.00\);_(&quot;R$ &quot;* &quot;-&quot;??_);_(@_)"/>
  </numFmts>
  <fonts count="17" x14ac:knownFonts="1">
    <font>
      <sz val="10"/>
      <name val="Arial"/>
    </font>
    <font>
      <sz val="10"/>
      <name val="Arial"/>
      <family val="2"/>
    </font>
    <font>
      <sz val="12"/>
      <color indexed="19"/>
      <name val="Arial"/>
      <family val="2"/>
    </font>
    <font>
      <b/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1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4">
    <xf numFmtId="0" fontId="0" fillId="0" borderId="0"/>
    <xf numFmtId="167" fontId="13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2" fillId="0" borderId="0"/>
    <xf numFmtId="0" fontId="13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3" fontId="3" fillId="0" borderId="0" xfId="0" applyNumberFormat="1" applyFont="1" applyAlignment="1">
      <alignment horizontal="center"/>
    </xf>
    <xf numFmtId="13" fontId="8" fillId="0" borderId="0" xfId="0" applyNumberFormat="1" applyFont="1" applyAlignment="1">
      <alignment horizontal="center"/>
    </xf>
    <xf numFmtId="0" fontId="3" fillId="0" borderId="0" xfId="0" applyFont="1"/>
    <xf numFmtId="13" fontId="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3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165" fontId="3" fillId="3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0" fontId="3" fillId="7" borderId="0" xfId="0" applyFont="1" applyFill="1"/>
    <xf numFmtId="165" fontId="6" fillId="7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5" fontId="3" fillId="8" borderId="0" xfId="0" applyNumberFormat="1" applyFont="1" applyFill="1" applyAlignment="1">
      <alignment horizontal="center"/>
    </xf>
    <xf numFmtId="165" fontId="6" fillId="8" borderId="0" xfId="0" applyNumberFormat="1" applyFont="1" applyFill="1" applyAlignment="1">
      <alignment horizontal="center"/>
    </xf>
    <xf numFmtId="0" fontId="6" fillId="0" borderId="0" xfId="0" applyFont="1"/>
    <xf numFmtId="165" fontId="2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6" fillId="0" borderId="0" xfId="0" applyNumberFormat="1" applyFont="1"/>
    <xf numFmtId="165" fontId="16" fillId="0" borderId="0" xfId="0" applyNumberFormat="1" applyFont="1"/>
    <xf numFmtId="0" fontId="9" fillId="4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/>
    </xf>
    <xf numFmtId="49" fontId="9" fillId="6" borderId="7" xfId="0" applyNumberFormat="1" applyFont="1" applyFill="1" applyBorder="1" applyAlignment="1">
      <alignment horizontal="center"/>
    </xf>
    <xf numFmtId="49" fontId="9" fillId="5" borderId="7" xfId="0" applyNumberFormat="1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2" fontId="1" fillId="5" borderId="9" xfId="0" applyNumberFormat="1" applyFont="1" applyFill="1" applyBorder="1" applyAlignment="1">
      <alignment horizontal="center"/>
    </xf>
    <xf numFmtId="2" fontId="1" fillId="6" borderId="7" xfId="0" applyNumberFormat="1" applyFont="1" applyFill="1" applyBorder="1" applyAlignment="1">
      <alignment horizontal="center"/>
    </xf>
    <xf numFmtId="2" fontId="1" fillId="5" borderId="7" xfId="0" applyNumberFormat="1" applyFont="1" applyFill="1" applyBorder="1" applyAlignment="1">
      <alignment horizontal="center"/>
    </xf>
    <xf numFmtId="2" fontId="1" fillId="5" borderId="10" xfId="0" applyNumberFormat="1" applyFont="1" applyFill="1" applyBorder="1" applyAlignment="1">
      <alignment horizontal="center"/>
    </xf>
    <xf numFmtId="2" fontId="1" fillId="9" borderId="7" xfId="0" applyNumberFormat="1" applyFont="1" applyFill="1" applyBorder="1" applyAlignment="1">
      <alignment horizontal="center"/>
    </xf>
    <xf numFmtId="2" fontId="1" fillId="5" borderId="8" xfId="0" applyNumberFormat="1" applyFont="1" applyFill="1" applyBorder="1" applyAlignment="1">
      <alignment horizontal="center"/>
    </xf>
    <xf numFmtId="2" fontId="1" fillId="5" borderId="6" xfId="0" applyNumberFormat="1" applyFont="1" applyFill="1" applyBorder="1" applyAlignment="1">
      <alignment horizontal="center"/>
    </xf>
    <xf numFmtId="2" fontId="14" fillId="5" borderId="9" xfId="0" applyNumberFormat="1" applyFont="1" applyFill="1" applyBorder="1" applyAlignment="1">
      <alignment horizontal="center"/>
    </xf>
    <xf numFmtId="2" fontId="14" fillId="6" borderId="7" xfId="0" applyNumberFormat="1" applyFont="1" applyFill="1" applyBorder="1" applyAlignment="1">
      <alignment horizontal="center"/>
    </xf>
    <xf numFmtId="2" fontId="14" fillId="5" borderId="8" xfId="0" applyNumberFormat="1" applyFont="1" applyFill="1" applyBorder="1" applyAlignment="1">
      <alignment horizontal="center"/>
    </xf>
    <xf numFmtId="2" fontId="1" fillId="4" borderId="12" xfId="0" applyNumberFormat="1" applyFont="1" applyFill="1" applyBorder="1" applyAlignment="1">
      <alignment horizontal="center"/>
    </xf>
    <xf numFmtId="2" fontId="1" fillId="6" borderId="13" xfId="0" applyNumberFormat="1" applyFont="1" applyFill="1" applyBorder="1" applyAlignment="1">
      <alignment horizontal="center"/>
    </xf>
    <xf numFmtId="2" fontId="1" fillId="4" borderId="13" xfId="0" applyNumberFormat="1" applyFont="1" applyFill="1" applyBorder="1" applyAlignment="1">
      <alignment horizontal="center"/>
    </xf>
    <xf numFmtId="2" fontId="1" fillId="4" borderId="14" xfId="0" applyNumberFormat="1" applyFont="1" applyFill="1" applyBorder="1" applyAlignment="1">
      <alignment horizontal="center"/>
    </xf>
    <xf numFmtId="2" fontId="1" fillId="4" borderId="15" xfId="0" applyNumberFormat="1" applyFont="1" applyFill="1" applyBorder="1" applyAlignment="1">
      <alignment horizontal="center"/>
    </xf>
    <xf numFmtId="2" fontId="1" fillId="4" borderId="16" xfId="0" applyNumberFormat="1" applyFont="1" applyFill="1" applyBorder="1" applyAlignment="1">
      <alignment horizontal="center"/>
    </xf>
    <xf numFmtId="2" fontId="1" fillId="9" borderId="16" xfId="0" applyNumberFormat="1" applyFont="1" applyFill="1" applyBorder="1" applyAlignment="1">
      <alignment horizontal="center"/>
    </xf>
    <xf numFmtId="2" fontId="1" fillId="4" borderId="17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2" fontId="1" fillId="4" borderId="19" xfId="0" applyNumberFormat="1" applyFont="1" applyFill="1" applyBorder="1" applyAlignment="1">
      <alignment horizontal="center"/>
    </xf>
    <xf numFmtId="2" fontId="1" fillId="4" borderId="20" xfId="0" applyNumberFormat="1" applyFont="1" applyFill="1" applyBorder="1" applyAlignment="1">
      <alignment horizontal="center"/>
    </xf>
    <xf numFmtId="2" fontId="14" fillId="4" borderId="15" xfId="0" applyNumberFormat="1" applyFont="1" applyFill="1" applyBorder="1" applyAlignment="1">
      <alignment horizontal="center"/>
    </xf>
    <xf numFmtId="2" fontId="14" fillId="6" borderId="16" xfId="0" applyNumberFormat="1" applyFont="1" applyFill="1" applyBorder="1" applyAlignment="1">
      <alignment horizontal="center"/>
    </xf>
    <xf numFmtId="2" fontId="14" fillId="4" borderId="17" xfId="0" applyNumberFormat="1" applyFont="1" applyFill="1" applyBorder="1" applyAlignment="1">
      <alignment horizontal="center"/>
    </xf>
    <xf numFmtId="2" fontId="1" fillId="5" borderId="12" xfId="0" applyNumberFormat="1" applyFont="1" applyFill="1" applyBorder="1" applyAlignment="1">
      <alignment horizontal="center"/>
    </xf>
    <xf numFmtId="2" fontId="1" fillId="5" borderId="13" xfId="0" applyNumberFormat="1" applyFont="1" applyFill="1" applyBorder="1" applyAlignment="1">
      <alignment horizontal="center"/>
    </xf>
    <xf numFmtId="2" fontId="1" fillId="5" borderId="14" xfId="0" applyNumberFormat="1" applyFont="1" applyFill="1" applyBorder="1" applyAlignment="1">
      <alignment horizontal="center"/>
    </xf>
    <xf numFmtId="2" fontId="1" fillId="5" borderId="15" xfId="0" applyNumberFormat="1" applyFont="1" applyFill="1" applyBorder="1" applyAlignment="1">
      <alignment horizontal="center"/>
    </xf>
    <xf numFmtId="2" fontId="1" fillId="5" borderId="16" xfId="0" applyNumberFormat="1" applyFont="1" applyFill="1" applyBorder="1" applyAlignment="1">
      <alignment horizontal="center"/>
    </xf>
    <xf numFmtId="2" fontId="1" fillId="5" borderId="17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2" fontId="1" fillId="5" borderId="19" xfId="0" applyNumberFormat="1" applyFont="1" applyFill="1" applyBorder="1" applyAlignment="1">
      <alignment horizontal="center"/>
    </xf>
    <xf numFmtId="2" fontId="1" fillId="5" borderId="20" xfId="0" applyNumberFormat="1" applyFont="1" applyFill="1" applyBorder="1" applyAlignment="1">
      <alignment horizontal="center"/>
    </xf>
    <xf numFmtId="2" fontId="1" fillId="4" borderId="21" xfId="0" applyNumberFormat="1" applyFont="1" applyFill="1" applyBorder="1" applyAlignment="1">
      <alignment horizontal="center"/>
    </xf>
    <xf numFmtId="2" fontId="1" fillId="5" borderId="21" xfId="0" applyNumberFormat="1" applyFont="1" applyFill="1" applyBorder="1" applyAlignment="1">
      <alignment horizontal="center"/>
    </xf>
    <xf numFmtId="2" fontId="1" fillId="6" borderId="15" xfId="0" applyNumberFormat="1" applyFont="1" applyFill="1" applyBorder="1" applyAlignment="1">
      <alignment horizontal="center"/>
    </xf>
    <xf numFmtId="2" fontId="1" fillId="6" borderId="19" xfId="0" applyNumberFormat="1" applyFont="1" applyFill="1" applyBorder="1" applyAlignment="1">
      <alignment horizontal="center"/>
    </xf>
    <xf numFmtId="2" fontId="1" fillId="6" borderId="17" xfId="0" applyNumberFormat="1" applyFont="1" applyFill="1" applyBorder="1" applyAlignment="1">
      <alignment horizontal="center"/>
    </xf>
    <xf numFmtId="2" fontId="1" fillId="6" borderId="21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2" fontId="1" fillId="6" borderId="23" xfId="0" applyNumberFormat="1" applyFont="1" applyFill="1" applyBorder="1" applyAlignment="1">
      <alignment horizontal="center"/>
    </xf>
    <xf numFmtId="2" fontId="1" fillId="4" borderId="23" xfId="0" applyNumberFormat="1" applyFont="1" applyFill="1" applyBorder="1" applyAlignment="1">
      <alignment horizontal="center"/>
    </xf>
    <xf numFmtId="2" fontId="1" fillId="4" borderId="24" xfId="0" applyNumberFormat="1" applyFont="1" applyFill="1" applyBorder="1" applyAlignment="1">
      <alignment horizontal="center"/>
    </xf>
    <xf numFmtId="2" fontId="1" fillId="4" borderId="25" xfId="0" applyNumberFormat="1" applyFont="1" applyFill="1" applyBorder="1" applyAlignment="1">
      <alignment horizontal="center"/>
    </xf>
    <xf numFmtId="2" fontId="1" fillId="4" borderId="26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5" borderId="23" xfId="0" applyNumberFormat="1" applyFont="1" applyFill="1" applyBorder="1" applyAlignment="1">
      <alignment horizontal="center"/>
    </xf>
    <xf numFmtId="2" fontId="1" fillId="5" borderId="24" xfId="0" applyNumberFormat="1" applyFont="1" applyFill="1" applyBorder="1" applyAlignment="1">
      <alignment horizontal="center"/>
    </xf>
    <xf numFmtId="2" fontId="1" fillId="5" borderId="25" xfId="0" applyNumberFormat="1" applyFont="1" applyFill="1" applyBorder="1" applyAlignment="1">
      <alignment horizontal="center"/>
    </xf>
    <xf numFmtId="2" fontId="1" fillId="5" borderId="26" xfId="0" applyNumberFormat="1" applyFont="1" applyFill="1" applyBorder="1" applyAlignment="1">
      <alignment horizontal="center"/>
    </xf>
    <xf numFmtId="2" fontId="1" fillId="4" borderId="27" xfId="0" applyNumberFormat="1" applyFont="1" applyFill="1" applyBorder="1" applyAlignment="1">
      <alignment horizontal="center"/>
    </xf>
    <xf numFmtId="2" fontId="1" fillId="6" borderId="28" xfId="0" applyNumberFormat="1" applyFont="1" applyFill="1" applyBorder="1" applyAlignment="1">
      <alignment horizontal="center"/>
    </xf>
    <xf numFmtId="2" fontId="1" fillId="4" borderId="28" xfId="0" applyNumberFormat="1" applyFont="1" applyFill="1" applyBorder="1" applyAlignment="1">
      <alignment horizontal="center"/>
    </xf>
    <xf numFmtId="2" fontId="1" fillId="4" borderId="29" xfId="0" applyNumberFormat="1" applyFont="1" applyFill="1" applyBorder="1" applyAlignment="1">
      <alignment horizontal="center"/>
    </xf>
    <xf numFmtId="2" fontId="1" fillId="9" borderId="28" xfId="0" applyNumberFormat="1" applyFont="1" applyFill="1" applyBorder="1" applyAlignment="1">
      <alignment horizontal="center"/>
    </xf>
    <xf numFmtId="2" fontId="1" fillId="4" borderId="30" xfId="0" applyNumberFormat="1" applyFont="1" applyFill="1" applyBorder="1" applyAlignment="1">
      <alignment horizontal="center"/>
    </xf>
    <xf numFmtId="2" fontId="1" fillId="4" borderId="31" xfId="0" applyNumberFormat="1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9" borderId="10" xfId="0" applyFont="1" applyFill="1" applyBorder="1" applyAlignment="1">
      <alignment horizontal="center"/>
    </xf>
    <xf numFmtId="166" fontId="9" fillId="4" borderId="31" xfId="0" applyNumberFormat="1" applyFont="1" applyFill="1" applyBorder="1" applyAlignment="1">
      <alignment horizontal="center"/>
    </xf>
    <xf numFmtId="166" fontId="9" fillId="6" borderId="28" xfId="0" applyNumberFormat="1" applyFont="1" applyFill="1" applyBorder="1" applyAlignment="1">
      <alignment horizontal="center"/>
    </xf>
    <xf numFmtId="166" fontId="9" fillId="4" borderId="28" xfId="0" applyNumberFormat="1" applyFont="1" applyFill="1" applyBorder="1" applyAlignment="1">
      <alignment horizontal="center"/>
    </xf>
    <xf numFmtId="166" fontId="9" fillId="4" borderId="30" xfId="0" applyNumberFormat="1" applyFont="1" applyFill="1" applyBorder="1" applyAlignment="1">
      <alignment horizontal="center"/>
    </xf>
    <xf numFmtId="166" fontId="9" fillId="4" borderId="29" xfId="0" applyNumberFormat="1" applyFont="1" applyFill="1" applyBorder="1" applyAlignment="1">
      <alignment horizontal="center"/>
    </xf>
    <xf numFmtId="166" fontId="9" fillId="9" borderId="29" xfId="0" applyNumberFormat="1" applyFont="1" applyFill="1" applyBorder="1" applyAlignment="1">
      <alignment horizontal="center"/>
    </xf>
    <xf numFmtId="166" fontId="9" fillId="4" borderId="2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37" xfId="0" applyFont="1" applyBorder="1" applyAlignment="1">
      <alignment vertical="center"/>
    </xf>
    <xf numFmtId="0" fontId="9" fillId="0" borderId="38" xfId="0" applyFont="1" applyBorder="1" applyAlignment="1">
      <alignment vertical="center"/>
    </xf>
    <xf numFmtId="0" fontId="8" fillId="2" borderId="3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17" fontId="9" fillId="4" borderId="35" xfId="0" applyNumberFormat="1" applyFont="1" applyFill="1" applyBorder="1" applyAlignment="1">
      <alignment horizontal="center" vertical="center"/>
    </xf>
    <xf numFmtId="17" fontId="9" fillId="4" borderId="36" xfId="0" applyNumberFormat="1" applyFont="1" applyFill="1" applyBorder="1" applyAlignment="1">
      <alignment horizontal="center" vertical="center"/>
    </xf>
    <xf numFmtId="17" fontId="9" fillId="4" borderId="34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8" fillId="2" borderId="33" xfId="0" applyFont="1" applyFill="1" applyBorder="1" applyAlignment="1">
      <alignment horizontal="center" vertical="center"/>
    </xf>
  </cellXfs>
  <cellStyles count="14">
    <cellStyle name="Moeda 2" xfId="1" xr:uid="{00000000-0005-0000-0000-000000000000}"/>
    <cellStyle name="Moeda 3" xfId="2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2 3" xfId="5" xr:uid="{00000000-0005-0000-0000-000005000000}"/>
    <cellStyle name="Normal 2 4" xfId="6" xr:uid="{00000000-0005-0000-0000-000006000000}"/>
    <cellStyle name="Normal 2 5" xfId="7" xr:uid="{00000000-0005-0000-0000-000007000000}"/>
    <cellStyle name="Normal 3" xfId="8" xr:uid="{00000000-0005-0000-0000-000008000000}"/>
    <cellStyle name="Normal 3 2" xfId="9" xr:uid="{00000000-0005-0000-0000-000009000000}"/>
    <cellStyle name="Normal 3 3" xfId="10" xr:uid="{00000000-0005-0000-0000-00000A000000}"/>
    <cellStyle name="Normal 4" xfId="11" xr:uid="{00000000-0005-0000-0000-00000B000000}"/>
    <cellStyle name="Separador de milhares 2" xfId="12" xr:uid="{00000000-0005-0000-0000-00000C000000}"/>
    <cellStyle name="Separador de milhares 2 2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8"/>
  <sheetViews>
    <sheetView tabSelected="1" topLeftCell="A95" zoomScale="90" zoomScaleNormal="90" workbookViewId="0">
      <selection activeCell="S117" sqref="S117"/>
    </sheetView>
  </sheetViews>
  <sheetFormatPr defaultRowHeight="15" x14ac:dyDescent="0.2"/>
  <cols>
    <col min="1" max="1" width="17" customWidth="1"/>
    <col min="2" max="23" width="10.7109375" customWidth="1"/>
    <col min="24" max="24" width="9.85546875" style="28" bestFit="1" customWidth="1"/>
    <col min="25" max="25" width="9.140625" style="25"/>
  </cols>
  <sheetData>
    <row r="1" spans="1:37" s="1" customFormat="1" x14ac:dyDescent="0.2">
      <c r="B1" s="2"/>
      <c r="C1" s="2"/>
      <c r="X1" s="26"/>
    </row>
    <row r="2" spans="1:37" s="5" customFormat="1" ht="14.25" customHeight="1" x14ac:dyDescent="0.25">
      <c r="A2" s="3" t="s">
        <v>0</v>
      </c>
      <c r="B2" s="4" t="s">
        <v>1</v>
      </c>
      <c r="C2" s="4"/>
      <c r="D2" s="3"/>
      <c r="E2" s="3"/>
      <c r="F2" s="1"/>
      <c r="G2" s="2"/>
      <c r="H2" s="14"/>
      <c r="I2" s="2"/>
      <c r="J2" s="2"/>
      <c r="K2" s="2"/>
      <c r="L2" s="2"/>
      <c r="M2" s="1"/>
      <c r="X2" s="27"/>
    </row>
    <row r="3" spans="1:37" s="5" customFormat="1" ht="15.75" x14ac:dyDescent="0.25">
      <c r="A3" s="3" t="s">
        <v>2</v>
      </c>
      <c r="B3" s="4" t="s">
        <v>3</v>
      </c>
      <c r="C3" s="4"/>
      <c r="D3" s="3"/>
      <c r="E3" s="3"/>
      <c r="F3" s="1"/>
      <c r="G3" s="2"/>
      <c r="H3" s="14"/>
      <c r="I3" s="2"/>
      <c r="J3" s="2"/>
      <c r="K3" s="2"/>
      <c r="L3" s="2"/>
      <c r="M3" s="2"/>
      <c r="X3" s="27"/>
    </row>
    <row r="4" spans="1:37" s="5" customFormat="1" ht="15.75" x14ac:dyDescent="0.25">
      <c r="A4" s="3" t="s">
        <v>4</v>
      </c>
      <c r="B4" s="4" t="s">
        <v>8</v>
      </c>
      <c r="C4" s="4"/>
      <c r="X4" s="27"/>
    </row>
    <row r="5" spans="1:37" s="1" customFormat="1" x14ac:dyDescent="0.2">
      <c r="B5" s="2"/>
      <c r="C5" s="2"/>
      <c r="X5" s="26"/>
    </row>
    <row r="6" spans="1:37" s="6" customFormat="1" ht="15.75" thickBot="1" x14ac:dyDescent="0.25">
      <c r="A6" s="7"/>
      <c r="B6" s="7"/>
      <c r="X6" s="17"/>
    </row>
    <row r="7" spans="1:37" s="5" customFormat="1" ht="16.5" thickBot="1" x14ac:dyDescent="0.3">
      <c r="A7" s="8" t="s">
        <v>5</v>
      </c>
      <c r="B7" s="16">
        <v>1</v>
      </c>
      <c r="C7" s="22"/>
      <c r="X7" s="27"/>
    </row>
    <row r="8" spans="1:37" s="6" customFormat="1" ht="16.5" thickBot="1" x14ac:dyDescent="0.25">
      <c r="A8" s="114" t="s">
        <v>6</v>
      </c>
      <c r="B8" s="116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8"/>
    </row>
    <row r="9" spans="1:37" s="10" customFormat="1" ht="16.5" thickBot="1" x14ac:dyDescent="0.3">
      <c r="A9" s="115"/>
      <c r="B9" s="18">
        <v>0.5</v>
      </c>
      <c r="C9" s="15">
        <v>1</v>
      </c>
      <c r="D9" s="18">
        <v>1.1000000000000001</v>
      </c>
      <c r="E9" s="15">
        <v>1.2</v>
      </c>
      <c r="F9" s="15">
        <v>1.3</v>
      </c>
      <c r="G9" s="18">
        <v>1.4</v>
      </c>
      <c r="H9" s="15">
        <v>1.6</v>
      </c>
      <c r="I9" s="15">
        <v>1.7</v>
      </c>
      <c r="J9" s="18">
        <v>1.9</v>
      </c>
      <c r="K9" s="15">
        <v>2</v>
      </c>
      <c r="L9" s="15">
        <v>2.2999999999999998</v>
      </c>
      <c r="M9" s="18">
        <v>2.5</v>
      </c>
      <c r="N9" s="15">
        <v>2.6</v>
      </c>
      <c r="O9" s="15">
        <v>2.7</v>
      </c>
      <c r="P9" s="15">
        <v>3</v>
      </c>
      <c r="Q9" s="15">
        <v>3.2</v>
      </c>
      <c r="R9" s="15">
        <v>3.3</v>
      </c>
      <c r="S9" s="15">
        <v>3.4</v>
      </c>
      <c r="T9" s="18">
        <v>3.7</v>
      </c>
      <c r="U9" s="15">
        <v>3.9</v>
      </c>
      <c r="V9" s="15">
        <v>4.3</v>
      </c>
      <c r="W9" s="18">
        <v>4.5</v>
      </c>
      <c r="X9" s="18">
        <v>5.5</v>
      </c>
      <c r="Y9" s="15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s="6" customFormat="1" ht="15.75" x14ac:dyDescent="0.25">
      <c r="A10" s="11">
        <v>15</v>
      </c>
      <c r="B10" s="19">
        <v>1</v>
      </c>
      <c r="C10" s="17">
        <v>0</v>
      </c>
      <c r="D10" s="19">
        <f>2*(-1*INDEX('Desconto Processos'!$B$5:$H$32,MATCH(180-$A10,'Desconto Processos'!$A$5:$A$32,0),MATCH(D$9,'Desconto Processos'!$B$3:$H$3,0))+INDEX('Acrescimo Tangente'!$B$4:$W$31,MATCH($A10,$A$10:$A$37,0),MATCH(D$9,$C$9:$X$9,0)))</f>
        <v>0.2</v>
      </c>
      <c r="E10" s="17">
        <v>0</v>
      </c>
      <c r="F10" s="17">
        <v>0</v>
      </c>
      <c r="G10" s="19">
        <f>2*(-1*INDEX('Desconto Processos'!$B$5:$H$32,MATCH(180-$A10,'Desconto Processos'!$A$5:$A$32,0),MATCH(G$9,'Desconto Processos'!$B$3:$H$3,0))+INDEX('Acrescimo Tangente'!$B$4:$W$31,MATCH($A10,$A$10:$A$37,0),MATCH(G$9,$C$9:$X$9,0)))</f>
        <v>0.2</v>
      </c>
      <c r="H10" s="17">
        <v>0</v>
      </c>
      <c r="I10" s="17">
        <v>0</v>
      </c>
      <c r="J10" s="19">
        <f>2*(-1*INDEX('Desconto Processos'!$B$5:$H$32,MATCH(180-$A10,'Desconto Processos'!$A$5:$A$32,0),MATCH(J$9,'Desconto Processos'!$B$3:$H$3,0))+INDEX('Acrescimo Tangente'!$B$4:$W$31,MATCH($A10,$A$10:$A$37,0),MATCH(J$9,$C$9:$X$9,0)))</f>
        <v>0.2</v>
      </c>
      <c r="K10" s="17">
        <v>0</v>
      </c>
      <c r="L10" s="17">
        <v>0</v>
      </c>
      <c r="M10" s="19">
        <f>2*(-1*INDEX('Desconto Processos'!$B$5:$H$32,MATCH(180-$A10,'Desconto Processos'!$A$5:$A$32,0),MATCH(M$9,'Desconto Processos'!$B$3:$H$3,0))+INDEX('Acrescimo Tangente'!$B$4:$W$31,MATCH($A10,$A$10:$A$37,0),MATCH(M$9,$C$9:$X$9,0)))</f>
        <v>0.2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9">
        <f>2*(-1*INDEX('Desconto Processos'!$B$5:$H$32,MATCH(180-$A10,'Desconto Processos'!$A$5:$A$32,0),MATCH(T$9,'Desconto Processos'!$B$3:$H$3,0))+INDEX('Acrescimo Tangente'!$B$4:$W$31,MATCH($A10,$A$10:$A$37,0),MATCH(T$9,$C$9:$X$9,0)))</f>
        <v>0.2</v>
      </c>
      <c r="U10" s="17">
        <v>0</v>
      </c>
      <c r="V10" s="17">
        <v>0</v>
      </c>
      <c r="W10" s="19">
        <f>2*(-1*INDEX('Desconto Processos'!$B$5:$H$32,MATCH(180-$A10,'Desconto Processos'!$A$5:$A$32,0),MATCH(W$9,'Desconto Processos'!$B$3:$H$3,0))+INDEX('Acrescimo Tangente'!$B$4:$W$31,MATCH($A10,$A$10:$A$37,0),MATCH(W$9,$C$9:$X$9,0)))</f>
        <v>0.2</v>
      </c>
      <c r="X10" s="19">
        <f>2*(-1*INDEX('Desconto Processos'!$B$5:$H$32,MATCH(180-$A10,'Desconto Processos'!$A$5:$A$32,0),MATCH(X$9,'Desconto Processos'!$B$3:$H$3,0))+INDEX('Acrescimo Tangente'!$B$4:$W$31,MATCH($A10,$A$10:$A$37,0),MATCH(X$9,$C$9:$X$9,0)))</f>
        <v>0.2</v>
      </c>
      <c r="Y10" s="17"/>
    </row>
    <row r="11" spans="1:37" s="6" customFormat="1" ht="15.75" x14ac:dyDescent="0.25">
      <c r="A11" s="11">
        <v>20</v>
      </c>
      <c r="B11" s="19">
        <v>1</v>
      </c>
      <c r="C11" s="17">
        <v>0</v>
      </c>
      <c r="D11" s="19">
        <f>2*(-1*INDEX('Desconto Processos'!$B$5:$H$32,MATCH(180-$A11,'Desconto Processos'!$A$5:$A$32,0),MATCH(D$9,'Desconto Processos'!$B$3:$H$3,0))+INDEX('Acrescimo Tangente'!$B$4:$W$31,MATCH($A11,$A$10:$A$37,0),MATCH(D$9,$C$9:$X$9,0)))</f>
        <v>0.2</v>
      </c>
      <c r="E11" s="17">
        <v>0</v>
      </c>
      <c r="F11" s="17">
        <v>0</v>
      </c>
      <c r="G11" s="19">
        <f>2*(-1*INDEX('Desconto Processos'!$B$5:$H$32,MATCH(180-$A11,'Desconto Processos'!$A$5:$A$32,0),MATCH(G$9,'Desconto Processos'!$B$3:$H$3,0))+INDEX('Acrescimo Tangente'!$B$4:$W$31,MATCH($A11,$A$10:$A$37,0),MATCH(G$9,$C$9:$X$9,0)))</f>
        <v>0.2</v>
      </c>
      <c r="H11" s="17">
        <v>0</v>
      </c>
      <c r="I11" s="17">
        <v>0</v>
      </c>
      <c r="J11" s="19">
        <f>2*(-1*INDEX('Desconto Processos'!$B$5:$H$32,MATCH(180-$A11,'Desconto Processos'!$A$5:$A$32,0),MATCH(J$9,'Desconto Processos'!$B$3:$H$3,0))+INDEX('Acrescimo Tangente'!$B$4:$W$31,MATCH($A11,$A$10:$A$37,0),MATCH(J$9,$C$9:$X$9,0)))</f>
        <v>0.2</v>
      </c>
      <c r="K11" s="17">
        <v>0</v>
      </c>
      <c r="L11" s="17">
        <v>0</v>
      </c>
      <c r="M11" s="19">
        <f>2*(-1*INDEX('Desconto Processos'!$B$5:$H$32,MATCH(180-$A11,'Desconto Processos'!$A$5:$A$32,0),MATCH(M$9,'Desconto Processos'!$B$3:$H$3,0))+INDEX('Acrescimo Tangente'!$B$4:$W$31,MATCH($A11,$A$10:$A$37,0),MATCH(M$9,$C$9:$X$9,0)))</f>
        <v>0.2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9">
        <f>2*(-1*INDEX('Desconto Processos'!$B$5:$H$32,MATCH(180-$A11,'Desconto Processos'!$A$5:$A$32,0),MATCH(T$9,'Desconto Processos'!$B$3:$H$3,0))+INDEX('Acrescimo Tangente'!$B$4:$W$31,MATCH($A11,$A$10:$A$37,0),MATCH(T$9,$C$9:$X$9,0)))</f>
        <v>0.2</v>
      </c>
      <c r="U11" s="17">
        <v>0</v>
      </c>
      <c r="V11" s="17">
        <v>0</v>
      </c>
      <c r="W11" s="19">
        <f>2*(-1*INDEX('Desconto Processos'!$B$5:$H$32,MATCH(180-$A11,'Desconto Processos'!$A$5:$A$32,0),MATCH(W$9,'Desconto Processos'!$B$3:$H$3,0))+INDEX('Acrescimo Tangente'!$B$4:$W$31,MATCH($A11,$A$10:$A$37,0),MATCH(W$9,$C$9:$X$9,0)))</f>
        <v>0.2</v>
      </c>
      <c r="X11" s="19">
        <f>2*(-1*INDEX('Desconto Processos'!$B$5:$H$32,MATCH(180-$A11,'Desconto Processos'!$A$5:$A$32,0),MATCH(X$9,'Desconto Processos'!$B$3:$H$3,0))+INDEX('Acrescimo Tangente'!$B$4:$W$31,MATCH($A11,$A$10:$A$37,0),MATCH(X$9,$C$9:$X$9,0)))</f>
        <v>0.2</v>
      </c>
      <c r="Y11" s="17"/>
    </row>
    <row r="12" spans="1:37" s="6" customFormat="1" ht="15.75" x14ac:dyDescent="0.25">
      <c r="A12" s="11">
        <v>25</v>
      </c>
      <c r="B12" s="19">
        <v>1</v>
      </c>
      <c r="C12" s="17">
        <v>0</v>
      </c>
      <c r="D12" s="19">
        <f>2*(-1*INDEX('Desconto Processos'!$B$5:$H$32,MATCH(180-$A12,'Desconto Processos'!$A$5:$A$32,0),MATCH(D$9,'Desconto Processos'!$B$3:$H$3,0))+INDEX('Acrescimo Tangente'!$B$4:$W$31,MATCH($A12,$A$10:$A$37,0),MATCH(D$9,$C$9:$X$9,0)))</f>
        <v>0.3</v>
      </c>
      <c r="E12" s="17">
        <v>0</v>
      </c>
      <c r="F12" s="17">
        <v>0</v>
      </c>
      <c r="G12" s="19">
        <f>2*(-1*INDEX('Desconto Processos'!$B$5:$H$32,MATCH(180-$A12,'Desconto Processos'!$A$5:$A$32,0),MATCH(G$9,'Desconto Processos'!$B$3:$H$3,0))+INDEX('Acrescimo Tangente'!$B$4:$W$31,MATCH($A12,$A$10:$A$37,0),MATCH(G$9,$C$9:$X$9,0)))</f>
        <v>0.3</v>
      </c>
      <c r="H12" s="17">
        <v>0</v>
      </c>
      <c r="I12" s="17">
        <v>0</v>
      </c>
      <c r="J12" s="19">
        <f>2*(-1*INDEX('Desconto Processos'!$B$5:$H$32,MATCH(180-$A12,'Desconto Processos'!$A$5:$A$32,0),MATCH(J$9,'Desconto Processos'!$B$3:$H$3,0))+INDEX('Acrescimo Tangente'!$B$4:$W$31,MATCH($A12,$A$10:$A$37,0),MATCH(J$9,$C$9:$X$9,0)))</f>
        <v>0.3</v>
      </c>
      <c r="K12" s="17">
        <v>0</v>
      </c>
      <c r="L12" s="17">
        <v>0</v>
      </c>
      <c r="M12" s="19">
        <f>2*(-1*INDEX('Desconto Processos'!$B$5:$H$32,MATCH(180-$A12,'Desconto Processos'!$A$5:$A$32,0),MATCH(M$9,'Desconto Processos'!$B$3:$H$3,0))+INDEX('Acrescimo Tangente'!$B$4:$W$31,MATCH($A12,$A$10:$A$37,0),MATCH(M$9,$C$9:$X$9,0)))</f>
        <v>0.3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9">
        <f>2*(-1*INDEX('Desconto Processos'!$B$5:$H$32,MATCH(180-$A12,'Desconto Processos'!$A$5:$A$32,0),MATCH(T$9,'Desconto Processos'!$B$3:$H$3,0))+INDEX('Acrescimo Tangente'!$B$4:$W$31,MATCH($A12,$A$10:$A$37,0),MATCH(T$9,$C$9:$X$9,0)))</f>
        <v>0.3</v>
      </c>
      <c r="U12" s="17">
        <v>0</v>
      </c>
      <c r="V12" s="17">
        <v>0</v>
      </c>
      <c r="W12" s="19">
        <f>2*(-1*INDEX('Desconto Processos'!$B$5:$H$32,MATCH(180-$A12,'Desconto Processos'!$A$5:$A$32,0),MATCH(W$9,'Desconto Processos'!$B$3:$H$3,0))+INDEX('Acrescimo Tangente'!$B$4:$W$31,MATCH($A12,$A$10:$A$37,0),MATCH(W$9,$C$9:$X$9,0)))</f>
        <v>0.3</v>
      </c>
      <c r="X12" s="19">
        <f>2*(-1*INDEX('Desconto Processos'!$B$5:$H$32,MATCH(180-$A12,'Desconto Processos'!$A$5:$A$32,0),MATCH(X$9,'Desconto Processos'!$B$3:$H$3,0))+INDEX('Acrescimo Tangente'!$B$4:$W$31,MATCH($A12,$A$10:$A$37,0),MATCH(X$9,$C$9:$X$9,0)))</f>
        <v>0.3</v>
      </c>
      <c r="Y12" s="17"/>
    </row>
    <row r="13" spans="1:37" s="6" customFormat="1" ht="15.75" x14ac:dyDescent="0.25">
      <c r="A13" s="11">
        <v>30</v>
      </c>
      <c r="B13" s="19">
        <v>1</v>
      </c>
      <c r="C13" s="17">
        <v>0</v>
      </c>
      <c r="D13" s="19">
        <f>2*(-1*INDEX('Desconto Processos'!$B$5:$H$32,MATCH(180-$A13,'Desconto Processos'!$A$5:$A$32,0),MATCH(D$9,'Desconto Processos'!$B$3:$H$3,0))+INDEX('Acrescimo Tangente'!$B$4:$W$31,MATCH($A13,$A$10:$A$37,0),MATCH(D$9,$C$9:$X$9,0)))</f>
        <v>0.3</v>
      </c>
      <c r="E13" s="17">
        <v>0</v>
      </c>
      <c r="F13" s="17">
        <v>0</v>
      </c>
      <c r="G13" s="19">
        <f>2*(-1*INDEX('Desconto Processos'!$B$5:$H$32,MATCH(180-$A13,'Desconto Processos'!$A$5:$A$32,0),MATCH(G$9,'Desconto Processos'!$B$3:$H$3,0))+INDEX('Acrescimo Tangente'!$B$4:$W$31,MATCH($A13,$A$10:$A$37,0),MATCH(G$9,$C$9:$X$9,0)))</f>
        <v>0.3</v>
      </c>
      <c r="H13" s="17">
        <v>0</v>
      </c>
      <c r="I13" s="17">
        <v>0</v>
      </c>
      <c r="J13" s="19">
        <f>2*(-1*INDEX('Desconto Processos'!$B$5:$H$32,MATCH(180-$A13,'Desconto Processos'!$A$5:$A$32,0),MATCH(J$9,'Desconto Processos'!$B$3:$H$3,0))+INDEX('Acrescimo Tangente'!$B$4:$W$31,MATCH($A13,$A$10:$A$37,0),MATCH(J$9,$C$9:$X$9,0)))</f>
        <v>0.3</v>
      </c>
      <c r="K13" s="17">
        <v>0</v>
      </c>
      <c r="L13" s="17">
        <v>0</v>
      </c>
      <c r="M13" s="19">
        <f>2*(-1*INDEX('Desconto Processos'!$B$5:$H$32,MATCH(180-$A13,'Desconto Processos'!$A$5:$A$32,0),MATCH(M$9,'Desconto Processos'!$B$3:$H$3,0))+INDEX('Acrescimo Tangente'!$B$4:$W$31,MATCH($A13,$A$10:$A$37,0),MATCH(M$9,$C$9:$X$9,0)))</f>
        <v>0.4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9">
        <f>2*(-1*INDEX('Desconto Processos'!$B$5:$H$32,MATCH(180-$A13,'Desconto Processos'!$A$5:$A$32,0),MATCH(T$9,'Desconto Processos'!$B$3:$H$3,0))+INDEX('Acrescimo Tangente'!$B$4:$W$31,MATCH($A13,$A$10:$A$37,0),MATCH(T$9,$C$9:$X$9,0)))</f>
        <v>0.4</v>
      </c>
      <c r="U13" s="17">
        <v>0</v>
      </c>
      <c r="V13" s="17">
        <v>0</v>
      </c>
      <c r="W13" s="19">
        <f>2*(-1*INDEX('Desconto Processos'!$B$5:$H$32,MATCH(180-$A13,'Desconto Processos'!$A$5:$A$32,0),MATCH(W$9,'Desconto Processos'!$B$3:$H$3,0))+INDEX('Acrescimo Tangente'!$B$4:$W$31,MATCH($A13,$A$10:$A$37,0),MATCH(W$9,$C$9:$X$9,0)))</f>
        <v>0.4</v>
      </c>
      <c r="X13" s="19">
        <f>2*(-1*INDEX('Desconto Processos'!$B$5:$H$32,MATCH(180-$A13,'Desconto Processos'!$A$5:$A$32,0),MATCH(X$9,'Desconto Processos'!$B$3:$H$3,0))+INDEX('Acrescimo Tangente'!$B$4:$W$31,MATCH($A13,$A$10:$A$37,0),MATCH(X$9,$C$9:$X$9,0)))</f>
        <v>0.5</v>
      </c>
      <c r="Y13" s="17"/>
    </row>
    <row r="14" spans="1:37" s="6" customFormat="1" ht="15.75" x14ac:dyDescent="0.25">
      <c r="A14" s="11">
        <v>35</v>
      </c>
      <c r="B14" s="19">
        <v>1</v>
      </c>
      <c r="C14" s="17">
        <v>0</v>
      </c>
      <c r="D14" s="19">
        <f>2*(-1*INDEX('Desconto Processos'!$B$5:$H$32,MATCH(180-$A14,'Desconto Processos'!$A$5:$A$32,0),MATCH(D$9,'Desconto Processos'!$B$3:$H$3,0))+INDEX('Acrescimo Tangente'!$B$4:$W$31,MATCH($A14,$A$10:$A$37,0),MATCH(D$9,$C$9:$X$9,0)))</f>
        <v>0.4</v>
      </c>
      <c r="E14" s="17">
        <v>0</v>
      </c>
      <c r="F14" s="17">
        <v>0</v>
      </c>
      <c r="G14" s="19">
        <f>2*(-1*INDEX('Desconto Processos'!$B$5:$H$32,MATCH(180-$A14,'Desconto Processos'!$A$5:$A$32,0),MATCH(G$9,'Desconto Processos'!$B$3:$H$3,0))+INDEX('Acrescimo Tangente'!$B$4:$W$31,MATCH($A14,$A$10:$A$37,0),MATCH(G$9,$C$9:$X$9,0)))</f>
        <v>0.4</v>
      </c>
      <c r="H14" s="17">
        <v>0</v>
      </c>
      <c r="I14" s="17">
        <v>0</v>
      </c>
      <c r="J14" s="19">
        <f>2*(-1*INDEX('Desconto Processos'!$B$5:$H$32,MATCH(180-$A14,'Desconto Processos'!$A$5:$A$32,0),MATCH(J$9,'Desconto Processos'!$B$3:$H$3,0))+INDEX('Acrescimo Tangente'!$B$4:$W$31,MATCH($A14,$A$10:$A$37,0),MATCH(J$9,$C$9:$X$9,0)))</f>
        <v>0.4</v>
      </c>
      <c r="K14" s="17">
        <v>0</v>
      </c>
      <c r="L14" s="17">
        <v>0</v>
      </c>
      <c r="M14" s="19">
        <f>2*(-1*INDEX('Desconto Processos'!$B$5:$H$32,MATCH(180-$A14,'Desconto Processos'!$A$5:$A$32,0),MATCH(M$9,'Desconto Processos'!$B$3:$H$3,0))+INDEX('Acrescimo Tangente'!$B$4:$W$31,MATCH($A14,$A$10:$A$37,0),MATCH(M$9,$C$9:$X$9,0)))</f>
        <v>0.4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9">
        <f>2*(-1*INDEX('Desconto Processos'!$B$5:$H$32,MATCH(180-$A14,'Desconto Processos'!$A$5:$A$32,0),MATCH(T$9,'Desconto Processos'!$B$3:$H$3,0))+INDEX('Acrescimo Tangente'!$B$4:$W$31,MATCH($A14,$A$10:$A$37,0),MATCH(T$9,$C$9:$X$9,0)))</f>
        <v>0.4</v>
      </c>
      <c r="U14" s="17">
        <v>0</v>
      </c>
      <c r="V14" s="17">
        <v>0</v>
      </c>
      <c r="W14" s="19">
        <f>2*(-1*INDEX('Desconto Processos'!$B$5:$H$32,MATCH(180-$A14,'Desconto Processos'!$A$5:$A$32,0),MATCH(W$9,'Desconto Processos'!$B$3:$H$3,0))+INDEX('Acrescimo Tangente'!$B$4:$W$31,MATCH($A14,$A$10:$A$37,0),MATCH(W$9,$C$9:$X$9,0)))</f>
        <v>0.5</v>
      </c>
      <c r="X14" s="19">
        <f>2*(-1*INDEX('Desconto Processos'!$B$5:$H$32,MATCH(180-$A14,'Desconto Processos'!$A$5:$A$32,0),MATCH(X$9,'Desconto Processos'!$B$3:$H$3,0))+INDEX('Acrescimo Tangente'!$B$4:$W$31,MATCH($A14,$A$10:$A$37,0),MATCH(X$9,$C$9:$X$9,0)))</f>
        <v>0.6</v>
      </c>
      <c r="Y14" s="17"/>
    </row>
    <row r="15" spans="1:37" s="6" customFormat="1" ht="15.75" x14ac:dyDescent="0.25">
      <c r="A15" s="11">
        <v>40</v>
      </c>
      <c r="B15" s="19">
        <v>1</v>
      </c>
      <c r="C15" s="17">
        <v>0</v>
      </c>
      <c r="D15" s="19">
        <f>2*(-1*INDEX('Desconto Processos'!$B$5:$H$32,MATCH(180-$A15,'Desconto Processos'!$A$5:$A$32,0),MATCH(D$9,'Desconto Processos'!$B$3:$H$3,0))+INDEX('Acrescimo Tangente'!$B$4:$W$31,MATCH($A15,$A$10:$A$37,0),MATCH(D$9,$C$9:$X$9,0)))</f>
        <v>0.5</v>
      </c>
      <c r="E15" s="17">
        <v>0</v>
      </c>
      <c r="F15" s="17">
        <v>0</v>
      </c>
      <c r="G15" s="19">
        <f>2*(-1*INDEX('Desconto Processos'!$B$5:$H$32,MATCH(180-$A15,'Desconto Processos'!$A$5:$A$32,0),MATCH(G$9,'Desconto Processos'!$B$3:$H$3,0))+INDEX('Acrescimo Tangente'!$B$4:$W$31,MATCH($A15,$A$10:$A$37,0),MATCH(G$9,$C$9:$X$9,0)))</f>
        <v>0.5</v>
      </c>
      <c r="H15" s="17">
        <v>0</v>
      </c>
      <c r="I15" s="17">
        <v>0</v>
      </c>
      <c r="J15" s="19">
        <f>2*(-1*INDEX('Desconto Processos'!$B$5:$H$32,MATCH(180-$A15,'Desconto Processos'!$A$5:$A$32,0),MATCH(J$9,'Desconto Processos'!$B$3:$H$3,0))+INDEX('Acrescimo Tangente'!$B$4:$W$31,MATCH($A15,$A$10:$A$37,0),MATCH(J$9,$C$9:$X$9,0)))</f>
        <v>0.5</v>
      </c>
      <c r="K15" s="17">
        <v>0</v>
      </c>
      <c r="L15" s="17">
        <v>0</v>
      </c>
      <c r="M15" s="19">
        <f>2*(-1*INDEX('Desconto Processos'!$B$5:$H$32,MATCH(180-$A15,'Desconto Processos'!$A$5:$A$32,0),MATCH(M$9,'Desconto Processos'!$B$3:$H$3,0))+INDEX('Acrescimo Tangente'!$B$4:$W$31,MATCH($A15,$A$10:$A$37,0),MATCH(M$9,$C$9:$X$9,0)))</f>
        <v>0.5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9">
        <f>2*(-1*INDEX('Desconto Processos'!$B$5:$H$32,MATCH(180-$A15,'Desconto Processos'!$A$5:$A$32,0),MATCH(T$9,'Desconto Processos'!$B$3:$H$3,0))+INDEX('Acrescimo Tangente'!$B$4:$W$31,MATCH($A15,$A$10:$A$37,0),MATCH(T$9,$C$9:$X$9,0)))</f>
        <v>0.6</v>
      </c>
      <c r="U15" s="17">
        <v>0</v>
      </c>
      <c r="V15" s="17">
        <v>0</v>
      </c>
      <c r="W15" s="19">
        <f>2*(-1*INDEX('Desconto Processos'!$B$5:$H$32,MATCH(180-$A15,'Desconto Processos'!$A$5:$A$32,0),MATCH(W$9,'Desconto Processos'!$B$3:$H$3,0))+INDEX('Acrescimo Tangente'!$B$4:$W$31,MATCH($A15,$A$10:$A$37,0),MATCH(W$9,$C$9:$X$9,0)))</f>
        <v>0.6</v>
      </c>
      <c r="X15" s="19">
        <f>2*(-1*INDEX('Desconto Processos'!$B$5:$H$32,MATCH(180-$A15,'Desconto Processos'!$A$5:$A$32,0),MATCH(X$9,'Desconto Processos'!$B$3:$H$3,0))+INDEX('Acrescimo Tangente'!$B$4:$W$31,MATCH($A15,$A$10:$A$37,0),MATCH(X$9,$C$9:$X$9,0)))</f>
        <v>0.7</v>
      </c>
      <c r="Y15" s="17"/>
    </row>
    <row r="16" spans="1:37" s="6" customFormat="1" ht="15.75" x14ac:dyDescent="0.25">
      <c r="A16" s="11">
        <v>45</v>
      </c>
      <c r="B16" s="19">
        <v>1</v>
      </c>
      <c r="C16" s="17">
        <v>0</v>
      </c>
      <c r="D16" s="19">
        <f>2*(-1*INDEX('Desconto Processos'!$B$5:$H$32,MATCH(180-$A16,'Desconto Processos'!$A$5:$A$32,0),MATCH(D$9,'Desconto Processos'!$B$3:$H$3,0))+INDEX('Acrescimo Tangente'!$B$4:$W$31,MATCH($A16,$A$10:$A$37,0),MATCH(D$9,$C$9:$X$9,0)))</f>
        <v>0.6</v>
      </c>
      <c r="E16" s="17">
        <v>0</v>
      </c>
      <c r="F16" s="17">
        <v>0</v>
      </c>
      <c r="G16" s="19">
        <f>2*(-1*INDEX('Desconto Processos'!$B$5:$H$32,MATCH(180-$A16,'Desconto Processos'!$A$5:$A$32,0),MATCH(G$9,'Desconto Processos'!$B$3:$H$3,0))+INDEX('Acrescimo Tangente'!$B$4:$W$31,MATCH($A16,$A$10:$A$37,0),MATCH(G$9,$C$9:$X$9,0)))</f>
        <v>0.6</v>
      </c>
      <c r="H16" s="17">
        <v>0</v>
      </c>
      <c r="I16" s="17">
        <v>0</v>
      </c>
      <c r="J16" s="19">
        <f>2*(-1*INDEX('Desconto Processos'!$B$5:$H$32,MATCH(180-$A16,'Desconto Processos'!$A$5:$A$32,0),MATCH(J$9,'Desconto Processos'!$B$3:$H$3,0))+INDEX('Acrescimo Tangente'!$B$4:$W$31,MATCH($A16,$A$10:$A$37,0),MATCH(J$9,$C$9:$X$9,0)))</f>
        <v>0.6</v>
      </c>
      <c r="K16" s="17">
        <v>0</v>
      </c>
      <c r="L16" s="17">
        <v>0</v>
      </c>
      <c r="M16" s="19">
        <f>2*(-1*INDEX('Desconto Processos'!$B$5:$H$32,MATCH(180-$A16,'Desconto Processos'!$A$5:$A$32,0),MATCH(M$9,'Desconto Processos'!$B$3:$H$3,0))+INDEX('Acrescimo Tangente'!$B$4:$W$31,MATCH($A16,$A$10:$A$37,0),MATCH(M$9,$C$9:$X$9,0)))</f>
        <v>0.7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9">
        <f>2*(-1*INDEX('Desconto Processos'!$B$5:$H$32,MATCH(180-$A16,'Desconto Processos'!$A$5:$A$32,0),MATCH(T$9,'Desconto Processos'!$B$3:$H$3,0))+INDEX('Acrescimo Tangente'!$B$4:$W$31,MATCH($A16,$A$10:$A$37,0),MATCH(T$9,$C$9:$X$9,0)))</f>
        <v>0.7</v>
      </c>
      <c r="U16" s="17">
        <v>0</v>
      </c>
      <c r="V16" s="17">
        <v>0</v>
      </c>
      <c r="W16" s="19">
        <f>2*(-1*INDEX('Desconto Processos'!$B$5:$H$32,MATCH(180-$A16,'Desconto Processos'!$A$5:$A$32,0),MATCH(W$9,'Desconto Processos'!$B$3:$H$3,0))+INDEX('Acrescimo Tangente'!$B$4:$W$31,MATCH($A16,$A$10:$A$37,0),MATCH(W$9,$C$9:$X$9,0)))</f>
        <v>0.8</v>
      </c>
      <c r="X16" s="19">
        <f>2*(-1*INDEX('Desconto Processos'!$B$5:$H$32,MATCH(180-$A16,'Desconto Processos'!$A$5:$A$32,0),MATCH(X$9,'Desconto Processos'!$B$3:$H$3,0))+INDEX('Acrescimo Tangente'!$B$4:$W$31,MATCH($A16,$A$10:$A$37,0),MATCH(X$9,$C$9:$X$9,0)))</f>
        <v>0.9</v>
      </c>
      <c r="Y16" s="17"/>
    </row>
    <row r="17" spans="1:25" s="6" customFormat="1" ht="15.75" x14ac:dyDescent="0.25">
      <c r="A17" s="11">
        <v>50</v>
      </c>
      <c r="B17" s="19">
        <v>1</v>
      </c>
      <c r="C17" s="17">
        <v>0</v>
      </c>
      <c r="D17" s="19">
        <f>2*(-1*INDEX('Desconto Processos'!$B$5:$H$32,MATCH(180-$A17,'Desconto Processos'!$A$5:$A$32,0),MATCH(D$9,'Desconto Processos'!$B$3:$H$3,0))+INDEX('Acrescimo Tangente'!$B$4:$W$31,MATCH($A17,$A$10:$A$37,0),MATCH(D$9,$C$9:$X$9,0)))</f>
        <v>0.7</v>
      </c>
      <c r="E17" s="17">
        <v>0</v>
      </c>
      <c r="F17" s="17">
        <v>0</v>
      </c>
      <c r="G17" s="19">
        <f>2*(-1*INDEX('Desconto Processos'!$B$5:$H$32,MATCH(180-$A17,'Desconto Processos'!$A$5:$A$32,0),MATCH(G$9,'Desconto Processos'!$B$3:$H$3,0))+INDEX('Acrescimo Tangente'!$B$4:$W$31,MATCH($A17,$A$10:$A$37,0),MATCH(G$9,$C$9:$X$9,0)))</f>
        <v>0.7</v>
      </c>
      <c r="H17" s="17">
        <v>0</v>
      </c>
      <c r="I17" s="17">
        <v>0</v>
      </c>
      <c r="J17" s="19">
        <f>2*(-1*INDEX('Desconto Processos'!$B$5:$H$32,MATCH(180-$A17,'Desconto Processos'!$A$5:$A$32,0),MATCH(J$9,'Desconto Processos'!$B$3:$H$3,0))+INDEX('Acrescimo Tangente'!$B$4:$W$31,MATCH($A17,$A$10:$A$37,0),MATCH(J$9,$C$9:$X$9,0)))</f>
        <v>0.7</v>
      </c>
      <c r="K17" s="17">
        <v>0</v>
      </c>
      <c r="L17" s="17">
        <v>0</v>
      </c>
      <c r="M17" s="19">
        <f>2*(-1*INDEX('Desconto Processos'!$B$5:$H$32,MATCH(180-$A17,'Desconto Processos'!$A$5:$A$32,0),MATCH(M$9,'Desconto Processos'!$B$3:$H$3,0))+INDEX('Acrescimo Tangente'!$B$4:$W$31,MATCH($A17,$A$10:$A$37,0),MATCH(M$9,$C$9:$X$9,0)))</f>
        <v>0.7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9">
        <f>2*(-1*INDEX('Desconto Processos'!$B$5:$H$32,MATCH(180-$A17,'Desconto Processos'!$A$5:$A$32,0),MATCH(T$9,'Desconto Processos'!$B$3:$H$3,0))+INDEX('Acrescimo Tangente'!$B$4:$W$31,MATCH($A17,$A$10:$A$37,0),MATCH(T$9,$C$9:$X$9,0)))</f>
        <v>0.8</v>
      </c>
      <c r="U17" s="17">
        <v>0</v>
      </c>
      <c r="V17" s="17">
        <v>0</v>
      </c>
      <c r="W17" s="19">
        <f>2*(-1*INDEX('Desconto Processos'!$B$5:$H$32,MATCH(180-$A17,'Desconto Processos'!$A$5:$A$32,0),MATCH(W$9,'Desconto Processos'!$B$3:$H$3,0))+INDEX('Acrescimo Tangente'!$B$4:$W$31,MATCH($A17,$A$10:$A$37,0),MATCH(W$9,$C$9:$X$9,0)))</f>
        <v>0.8</v>
      </c>
      <c r="X17" s="19">
        <f>2*(-1*INDEX('Desconto Processos'!$B$5:$H$32,MATCH(180-$A17,'Desconto Processos'!$A$5:$A$32,0),MATCH(X$9,'Desconto Processos'!$B$3:$H$3,0))+INDEX('Acrescimo Tangente'!$B$4:$W$31,MATCH($A17,$A$10:$A$37,0),MATCH(X$9,$C$9:$X$9,0)))</f>
        <v>1</v>
      </c>
      <c r="Y17" s="17"/>
    </row>
    <row r="18" spans="1:25" s="6" customFormat="1" ht="15.75" x14ac:dyDescent="0.25">
      <c r="A18" s="11">
        <v>55</v>
      </c>
      <c r="B18" s="19">
        <v>1</v>
      </c>
      <c r="C18" s="17">
        <v>0</v>
      </c>
      <c r="D18" s="19">
        <f>2*(-1*INDEX('Desconto Processos'!$B$5:$H$32,MATCH(180-$A18,'Desconto Processos'!$A$5:$A$32,0),MATCH(D$9,'Desconto Processos'!$B$3:$H$3,0))+INDEX('Acrescimo Tangente'!$B$4:$W$31,MATCH($A18,$A$10:$A$37,0),MATCH(D$9,$C$9:$X$9,0)))</f>
        <v>0.8</v>
      </c>
      <c r="E18" s="17">
        <v>0</v>
      </c>
      <c r="F18" s="17">
        <v>0</v>
      </c>
      <c r="G18" s="19">
        <f>2*(-1*INDEX('Desconto Processos'!$B$5:$H$32,MATCH(180-$A18,'Desconto Processos'!$A$5:$A$32,0),MATCH(G$9,'Desconto Processos'!$B$3:$H$3,0))+INDEX('Acrescimo Tangente'!$B$4:$W$31,MATCH($A18,$A$10:$A$37,0),MATCH(G$9,$C$9:$X$9,0)))</f>
        <v>0.8</v>
      </c>
      <c r="H18" s="17">
        <v>0</v>
      </c>
      <c r="I18" s="17">
        <v>0</v>
      </c>
      <c r="J18" s="19">
        <f>2*(-1*INDEX('Desconto Processos'!$B$5:$H$32,MATCH(180-$A18,'Desconto Processos'!$A$5:$A$32,0),MATCH(J$9,'Desconto Processos'!$B$3:$H$3,0))+INDEX('Acrescimo Tangente'!$B$4:$W$31,MATCH($A18,$A$10:$A$37,0),MATCH(J$9,$C$9:$X$9,0)))</f>
        <v>0.8</v>
      </c>
      <c r="K18" s="17">
        <v>0</v>
      </c>
      <c r="L18" s="17">
        <v>0</v>
      </c>
      <c r="M18" s="19">
        <f>2*(-1*INDEX('Desconto Processos'!$B$5:$H$32,MATCH(180-$A18,'Desconto Processos'!$A$5:$A$32,0),MATCH(M$9,'Desconto Processos'!$B$3:$H$3,0))+INDEX('Acrescimo Tangente'!$B$4:$W$31,MATCH($A18,$A$10:$A$37,0),MATCH(M$9,$C$9:$X$9,0)))</f>
        <v>0.8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9">
        <f>2*(-1*INDEX('Desconto Processos'!$B$5:$H$32,MATCH(180-$A18,'Desconto Processos'!$A$5:$A$32,0),MATCH(T$9,'Desconto Processos'!$B$3:$H$3,0))+INDEX('Acrescimo Tangente'!$B$4:$W$31,MATCH($A18,$A$10:$A$37,0),MATCH(T$9,$C$9:$X$9,0)))</f>
        <v>0.9</v>
      </c>
      <c r="U18" s="17">
        <v>0</v>
      </c>
      <c r="V18" s="17">
        <v>0</v>
      </c>
      <c r="W18" s="19">
        <f>2*(-1*INDEX('Desconto Processos'!$B$5:$H$32,MATCH(180-$A18,'Desconto Processos'!$A$5:$A$32,0),MATCH(W$9,'Desconto Processos'!$B$3:$H$3,0))+INDEX('Acrescimo Tangente'!$B$4:$W$31,MATCH($A18,$A$10:$A$37,0),MATCH(W$9,$C$9:$X$9,0)))</f>
        <v>1</v>
      </c>
      <c r="X18" s="19">
        <f>2*(-1*INDEX('Desconto Processos'!$B$5:$H$32,MATCH(180-$A18,'Desconto Processos'!$A$5:$A$32,0),MATCH(X$9,'Desconto Processos'!$B$3:$H$3,0))+INDEX('Acrescimo Tangente'!$B$4:$W$31,MATCH($A18,$A$10:$A$37,0),MATCH(X$9,$C$9:$X$9,0)))</f>
        <v>1.2</v>
      </c>
      <c r="Y18" s="17"/>
    </row>
    <row r="19" spans="1:25" s="6" customFormat="1" ht="15.75" x14ac:dyDescent="0.25">
      <c r="A19" s="11">
        <v>60</v>
      </c>
      <c r="B19" s="19">
        <v>1</v>
      </c>
      <c r="C19" s="17">
        <v>0</v>
      </c>
      <c r="D19" s="19">
        <f>2*(-1*INDEX('Desconto Processos'!$B$5:$H$32,MATCH(180-$A19,'Desconto Processos'!$A$5:$A$32,0),MATCH(D$9,'Desconto Processos'!$B$3:$H$3,0))+INDEX('Acrescimo Tangente'!$B$4:$W$31,MATCH($A19,$A$10:$A$37,0),MATCH(D$9,$C$9:$X$9,0)))</f>
        <v>0.8</v>
      </c>
      <c r="E19" s="17">
        <v>0</v>
      </c>
      <c r="F19" s="17">
        <v>0</v>
      </c>
      <c r="G19" s="19">
        <f>2*(-1*INDEX('Desconto Processos'!$B$5:$H$32,MATCH(180-$A19,'Desconto Processos'!$A$5:$A$32,0),MATCH(G$9,'Desconto Processos'!$B$3:$H$3,0))+INDEX('Acrescimo Tangente'!$B$4:$W$31,MATCH($A19,$A$10:$A$37,0),MATCH(G$9,$C$9:$X$9,0)))</f>
        <v>0.9</v>
      </c>
      <c r="H19" s="17">
        <v>0</v>
      </c>
      <c r="I19" s="17">
        <v>0</v>
      </c>
      <c r="J19" s="19">
        <f>2*(-1*INDEX('Desconto Processos'!$B$5:$H$32,MATCH(180-$A19,'Desconto Processos'!$A$5:$A$32,0),MATCH(J$9,'Desconto Processos'!$B$3:$H$3,0))+INDEX('Acrescimo Tangente'!$B$4:$W$31,MATCH($A19,$A$10:$A$37,0),MATCH(J$9,$C$9:$X$9,0)))</f>
        <v>1</v>
      </c>
      <c r="K19" s="17">
        <v>0</v>
      </c>
      <c r="L19" s="17">
        <v>0</v>
      </c>
      <c r="M19" s="19">
        <f>2*(-1*INDEX('Desconto Processos'!$B$5:$H$32,MATCH(180-$A19,'Desconto Processos'!$A$5:$A$32,0),MATCH(M$9,'Desconto Processos'!$B$3:$H$3,0))+INDEX('Acrescimo Tangente'!$B$4:$W$31,MATCH($A19,$A$10:$A$37,0),MATCH(M$9,$C$9:$X$9,0)))</f>
        <v>1.1000000000000001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9">
        <f>2*(-1*INDEX('Desconto Processos'!$B$5:$H$32,MATCH(180-$A19,'Desconto Processos'!$A$5:$A$32,0),MATCH(T$9,'Desconto Processos'!$B$3:$H$3,0))+INDEX('Acrescimo Tangente'!$B$4:$W$31,MATCH($A19,$A$10:$A$37,0),MATCH(T$9,$C$9:$X$9,0)))</f>
        <v>1.2</v>
      </c>
      <c r="U19" s="17">
        <v>0</v>
      </c>
      <c r="V19" s="17">
        <v>0</v>
      </c>
      <c r="W19" s="19">
        <f>2*(-1*INDEX('Desconto Processos'!$B$5:$H$32,MATCH(180-$A19,'Desconto Processos'!$A$5:$A$32,0),MATCH(W$9,'Desconto Processos'!$B$3:$H$3,0))+INDEX('Acrescimo Tangente'!$B$4:$W$31,MATCH($A19,$A$10:$A$37,0),MATCH(W$9,$C$9:$X$9,0)))</f>
        <v>1.4</v>
      </c>
      <c r="X19" s="19">
        <f>2*(-1*INDEX('Desconto Processos'!$B$5:$H$32,MATCH(180-$A19,'Desconto Processos'!$A$5:$A$32,0),MATCH(X$9,'Desconto Processos'!$B$3:$H$3,0))+INDEX('Acrescimo Tangente'!$B$4:$W$31,MATCH($A19,$A$10:$A$37,0),MATCH(X$9,$C$9:$X$9,0)))</f>
        <v>1.5</v>
      </c>
      <c r="Y19" s="17"/>
    </row>
    <row r="20" spans="1:25" s="6" customFormat="1" ht="15.75" x14ac:dyDescent="0.25">
      <c r="A20" s="11">
        <v>65</v>
      </c>
      <c r="B20" s="19">
        <v>1</v>
      </c>
      <c r="C20" s="17">
        <v>0</v>
      </c>
      <c r="D20" s="19">
        <f>2*(-1*INDEX('Desconto Processos'!$B$5:$H$32,MATCH(180-$A20,'Desconto Processos'!$A$5:$A$32,0),MATCH(D$9,'Desconto Processos'!$B$3:$H$3,0))+INDEX('Acrescimo Tangente'!$B$4:$W$31,MATCH($A20,$A$10:$A$37,0),MATCH(D$9,$C$9:$X$9,0)))</f>
        <v>1</v>
      </c>
      <c r="E20" s="17">
        <v>0</v>
      </c>
      <c r="F20" s="17">
        <v>0</v>
      </c>
      <c r="G20" s="19">
        <f>2*(-1*INDEX('Desconto Processos'!$B$5:$H$32,MATCH(180-$A20,'Desconto Processos'!$A$5:$A$32,0),MATCH(G$9,'Desconto Processos'!$B$3:$H$3,0))+INDEX('Acrescimo Tangente'!$B$4:$W$31,MATCH($A20,$A$10:$A$37,0),MATCH(G$9,$C$9:$X$9,0)))</f>
        <v>1.1000000000000001</v>
      </c>
      <c r="H20" s="17">
        <v>0</v>
      </c>
      <c r="I20" s="17">
        <v>0</v>
      </c>
      <c r="J20" s="19">
        <f>2*(-1*INDEX('Desconto Processos'!$B$5:$H$32,MATCH(180-$A20,'Desconto Processos'!$A$5:$A$32,0),MATCH(J$9,'Desconto Processos'!$B$3:$H$3,0))+INDEX('Acrescimo Tangente'!$B$4:$W$31,MATCH($A20,$A$10:$A$37,0),MATCH(J$9,$C$9:$X$9,0)))</f>
        <v>1.1000000000000001</v>
      </c>
      <c r="K20" s="17">
        <v>0</v>
      </c>
      <c r="L20" s="17">
        <v>0</v>
      </c>
      <c r="M20" s="19">
        <f>2*(-1*INDEX('Desconto Processos'!$B$5:$H$32,MATCH(180-$A20,'Desconto Processos'!$A$5:$A$32,0),MATCH(M$9,'Desconto Processos'!$B$3:$H$3,0))+INDEX('Acrescimo Tangente'!$B$4:$W$31,MATCH($A20,$A$10:$A$37,0),MATCH(M$9,$C$9:$X$9,0)))</f>
        <v>1.2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9">
        <f>2*(-1*INDEX('Desconto Processos'!$B$5:$H$32,MATCH(180-$A20,'Desconto Processos'!$A$5:$A$32,0),MATCH(T$9,'Desconto Processos'!$B$3:$H$3,0))+INDEX('Acrescimo Tangente'!$B$4:$W$31,MATCH($A20,$A$10:$A$37,0),MATCH(T$9,$C$9:$X$9,0)))</f>
        <v>1.3</v>
      </c>
      <c r="U20" s="17">
        <v>0</v>
      </c>
      <c r="V20" s="17">
        <v>0</v>
      </c>
      <c r="W20" s="19">
        <f>2*(-1*INDEX('Desconto Processos'!$B$5:$H$32,MATCH(180-$A20,'Desconto Processos'!$A$5:$A$32,0),MATCH(W$9,'Desconto Processos'!$B$3:$H$3,0))+INDEX('Acrescimo Tangente'!$B$4:$W$31,MATCH($A20,$A$10:$A$37,0),MATCH(W$9,$C$9:$X$9,0)))</f>
        <v>1.4</v>
      </c>
      <c r="X20" s="19">
        <f>2*(-1*INDEX('Desconto Processos'!$B$5:$H$32,MATCH(180-$A20,'Desconto Processos'!$A$5:$A$32,0),MATCH(X$9,'Desconto Processos'!$B$3:$H$3,0))+INDEX('Acrescimo Tangente'!$B$4:$W$31,MATCH($A20,$A$10:$A$37,0),MATCH(X$9,$C$9:$X$9,0)))</f>
        <v>1.6</v>
      </c>
      <c r="Y20" s="17"/>
    </row>
    <row r="21" spans="1:25" s="6" customFormat="1" ht="15.75" x14ac:dyDescent="0.25">
      <c r="A21" s="11">
        <v>70</v>
      </c>
      <c r="B21" s="19">
        <v>1</v>
      </c>
      <c r="C21" s="17">
        <v>0</v>
      </c>
      <c r="D21" s="19">
        <f>2*(-1*INDEX('Desconto Processos'!$B$5:$H$32,MATCH(180-$A21,'Desconto Processos'!$A$5:$A$32,0),MATCH(D$9,'Desconto Processos'!$B$3:$H$3,0))+INDEX('Acrescimo Tangente'!$B$4:$W$31,MATCH($A21,$A$10:$A$37,0),MATCH(D$9,$C$9:$X$9,0)))</f>
        <v>1.2</v>
      </c>
      <c r="E21" s="17">
        <v>0</v>
      </c>
      <c r="F21" s="17">
        <v>0</v>
      </c>
      <c r="G21" s="19">
        <f>2*(-1*INDEX('Desconto Processos'!$B$5:$H$32,MATCH(180-$A21,'Desconto Processos'!$A$5:$A$32,0),MATCH(G$9,'Desconto Processos'!$B$3:$H$3,0))+INDEX('Acrescimo Tangente'!$B$4:$W$31,MATCH($A21,$A$10:$A$37,0),MATCH(G$9,$C$9:$X$9,0)))</f>
        <v>1.2</v>
      </c>
      <c r="H21" s="17">
        <v>0</v>
      </c>
      <c r="I21" s="17">
        <v>0</v>
      </c>
      <c r="J21" s="19">
        <f>2*(-1*INDEX('Desconto Processos'!$B$5:$H$32,MATCH(180-$A21,'Desconto Processos'!$A$5:$A$32,0),MATCH(J$9,'Desconto Processos'!$B$3:$H$3,0))+INDEX('Acrescimo Tangente'!$B$4:$W$31,MATCH($A21,$A$10:$A$37,0),MATCH(J$9,$C$9:$X$9,0)))</f>
        <v>1.3</v>
      </c>
      <c r="K21" s="17">
        <v>0</v>
      </c>
      <c r="L21" s="17">
        <v>0</v>
      </c>
      <c r="M21" s="19">
        <f>2*(-1*INDEX('Desconto Processos'!$B$5:$H$32,MATCH(180-$A21,'Desconto Processos'!$A$5:$A$32,0),MATCH(M$9,'Desconto Processos'!$B$3:$H$3,0))+INDEX('Acrescimo Tangente'!$B$4:$W$31,MATCH($A21,$A$10:$A$37,0),MATCH(M$9,$C$9:$X$9,0)))</f>
        <v>1.3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9">
        <f>2*(-1*INDEX('Desconto Processos'!$B$5:$H$32,MATCH(180-$A21,'Desconto Processos'!$A$5:$A$32,0),MATCH(T$9,'Desconto Processos'!$B$3:$H$3,0))+INDEX('Acrescimo Tangente'!$B$4:$W$31,MATCH($A21,$A$10:$A$37,0),MATCH(T$9,$C$9:$X$9,0)))</f>
        <v>1.5</v>
      </c>
      <c r="U21" s="17">
        <v>0</v>
      </c>
      <c r="V21" s="17">
        <v>0</v>
      </c>
      <c r="W21" s="19">
        <f>2*(-1*INDEX('Desconto Processos'!$B$5:$H$32,MATCH(180-$A21,'Desconto Processos'!$A$5:$A$32,0),MATCH(W$9,'Desconto Processos'!$B$3:$H$3,0))+INDEX('Acrescimo Tangente'!$B$4:$W$31,MATCH($A21,$A$10:$A$37,0),MATCH(W$9,$C$9:$X$9,0)))</f>
        <v>1.6</v>
      </c>
      <c r="X21" s="19">
        <f>2*(-1*INDEX('Desconto Processos'!$B$5:$H$32,MATCH(180-$A21,'Desconto Processos'!$A$5:$A$32,0),MATCH(X$9,'Desconto Processos'!$B$3:$H$3,0))+INDEX('Acrescimo Tangente'!$B$4:$W$31,MATCH($A21,$A$10:$A$37,0),MATCH(X$9,$C$9:$X$9,0)))</f>
        <v>1.8</v>
      </c>
      <c r="Y21" s="17"/>
    </row>
    <row r="22" spans="1:25" s="6" customFormat="1" ht="15.75" x14ac:dyDescent="0.25">
      <c r="A22" s="11">
        <v>75</v>
      </c>
      <c r="B22" s="19">
        <v>1</v>
      </c>
      <c r="C22" s="17">
        <v>0</v>
      </c>
      <c r="D22" s="19">
        <f>2*(-1*INDEX('Desconto Processos'!$B$5:$H$32,MATCH(180-$A22,'Desconto Processos'!$A$5:$A$32,0),MATCH(D$9,'Desconto Processos'!$B$3:$H$3,0))+INDEX('Acrescimo Tangente'!$B$4:$W$31,MATCH($A22,$A$10:$A$37,0),MATCH(D$9,$C$9:$X$9,0)))</f>
        <v>1.2</v>
      </c>
      <c r="E22" s="17">
        <v>0</v>
      </c>
      <c r="F22" s="17">
        <v>0</v>
      </c>
      <c r="G22" s="19">
        <f>2*(-1*INDEX('Desconto Processos'!$B$5:$H$32,MATCH(180-$A22,'Desconto Processos'!$A$5:$A$32,0),MATCH(G$9,'Desconto Processos'!$B$3:$H$3,0))+INDEX('Acrescimo Tangente'!$B$4:$W$31,MATCH($A22,$A$10:$A$37,0),MATCH(G$9,$C$9:$X$9,0)))</f>
        <v>1.4</v>
      </c>
      <c r="H22" s="17">
        <v>0</v>
      </c>
      <c r="I22" s="17">
        <v>0</v>
      </c>
      <c r="J22" s="19">
        <f>2*(-1*INDEX('Desconto Processos'!$B$5:$H$32,MATCH(180-$A22,'Desconto Processos'!$A$5:$A$32,0),MATCH(J$9,'Desconto Processos'!$B$3:$H$3,0))+INDEX('Acrescimo Tangente'!$B$4:$W$31,MATCH($A22,$A$10:$A$37,0),MATCH(J$9,$C$9:$X$9,0)))</f>
        <v>1.6</v>
      </c>
      <c r="K22" s="17">
        <v>0</v>
      </c>
      <c r="L22" s="17">
        <v>0</v>
      </c>
      <c r="M22" s="19">
        <f>2*(-1*INDEX('Desconto Processos'!$B$5:$H$32,MATCH(180-$A22,'Desconto Processos'!$A$5:$A$32,0),MATCH(M$9,'Desconto Processos'!$B$3:$H$3,0))+INDEX('Acrescimo Tangente'!$B$4:$W$31,MATCH($A22,$A$10:$A$37,0),MATCH(M$9,$C$9:$X$9,0)))</f>
        <v>1.8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9">
        <f>2*(-1*INDEX('Desconto Processos'!$B$5:$H$32,MATCH(180-$A22,'Desconto Processos'!$A$5:$A$32,0),MATCH(T$9,'Desconto Processos'!$B$3:$H$3,0))+INDEX('Acrescimo Tangente'!$B$4:$W$31,MATCH($A22,$A$10:$A$37,0),MATCH(T$9,$C$9:$X$9,0)))</f>
        <v>2</v>
      </c>
      <c r="U22" s="17">
        <v>0</v>
      </c>
      <c r="V22" s="17">
        <v>0</v>
      </c>
      <c r="W22" s="19">
        <f>2*(-1*INDEX('Desconto Processos'!$B$5:$H$32,MATCH(180-$A22,'Desconto Processos'!$A$5:$A$32,0),MATCH(W$9,'Desconto Processos'!$B$3:$H$3,0))+INDEX('Acrescimo Tangente'!$B$4:$W$31,MATCH($A22,$A$10:$A$37,0),MATCH(W$9,$C$9:$X$9,0)))</f>
        <v>2.2000000000000002</v>
      </c>
      <c r="X22" s="19">
        <f>2*(-1*INDEX('Desconto Processos'!$B$5:$H$32,MATCH(180-$A22,'Desconto Processos'!$A$5:$A$32,0),MATCH(X$9,'Desconto Processos'!$B$3:$H$3,0))+INDEX('Acrescimo Tangente'!$B$4:$W$31,MATCH($A22,$A$10:$A$37,0),MATCH(X$9,$C$9:$X$9,0)))</f>
        <v>2.4</v>
      </c>
      <c r="Y22" s="17"/>
    </row>
    <row r="23" spans="1:25" s="6" customFormat="1" ht="15.75" x14ac:dyDescent="0.25">
      <c r="A23" s="11">
        <v>80</v>
      </c>
      <c r="B23" s="19">
        <v>1</v>
      </c>
      <c r="C23" s="17">
        <v>0</v>
      </c>
      <c r="D23" s="19">
        <f>2*(-1*INDEX('Desconto Processos'!$B$5:$H$32,MATCH(180-$A23,'Desconto Processos'!$A$5:$A$32,0),MATCH(D$9,'Desconto Processos'!$B$3:$H$3,0))+INDEX('Acrescimo Tangente'!$B$4:$W$31,MATCH($A23,$A$10:$A$37,0),MATCH(D$9,$C$9:$X$9,0)))</f>
        <v>1.5</v>
      </c>
      <c r="E23" s="17">
        <v>0</v>
      </c>
      <c r="F23" s="17">
        <v>0</v>
      </c>
      <c r="G23" s="19">
        <f>2*(-1*INDEX('Desconto Processos'!$B$5:$H$32,MATCH(180-$A23,'Desconto Processos'!$A$5:$A$32,0),MATCH(G$9,'Desconto Processos'!$B$3:$H$3,0))+INDEX('Acrescimo Tangente'!$B$4:$W$31,MATCH($A23,$A$10:$A$37,0),MATCH(G$9,$C$9:$X$9,0)))</f>
        <v>1.6</v>
      </c>
      <c r="H23" s="17">
        <v>0</v>
      </c>
      <c r="I23" s="17">
        <v>0</v>
      </c>
      <c r="J23" s="19">
        <f>2*(-1*INDEX('Desconto Processos'!$B$5:$H$32,MATCH(180-$A23,'Desconto Processos'!$A$5:$A$32,0),MATCH(J$9,'Desconto Processos'!$B$3:$H$3,0))+INDEX('Acrescimo Tangente'!$B$4:$W$31,MATCH($A23,$A$10:$A$37,0),MATCH(J$9,$C$9:$X$9,0)))</f>
        <v>1.7</v>
      </c>
      <c r="K23" s="17">
        <v>0</v>
      </c>
      <c r="L23" s="17">
        <v>0</v>
      </c>
      <c r="M23" s="19">
        <f>2*(-1*INDEX('Desconto Processos'!$B$5:$H$32,MATCH(180-$A23,'Desconto Processos'!$A$5:$A$32,0),MATCH(M$9,'Desconto Processos'!$B$3:$H$3,0))+INDEX('Acrescimo Tangente'!$B$4:$W$31,MATCH($A23,$A$10:$A$37,0),MATCH(M$9,$C$9:$X$9,0)))</f>
        <v>1.8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9">
        <f>2*(-1*INDEX('Desconto Processos'!$B$5:$H$32,MATCH(180-$A23,'Desconto Processos'!$A$5:$A$32,0),MATCH(T$9,'Desconto Processos'!$B$3:$H$3,0))+INDEX('Acrescimo Tangente'!$B$4:$W$31,MATCH($A23,$A$10:$A$37,0),MATCH(T$9,$C$9:$X$9,0)))</f>
        <v>2.1</v>
      </c>
      <c r="U23" s="17">
        <v>0</v>
      </c>
      <c r="V23" s="17">
        <v>0</v>
      </c>
      <c r="W23" s="19">
        <f>2*(-1*INDEX('Desconto Processos'!$B$5:$H$32,MATCH(180-$A23,'Desconto Processos'!$A$5:$A$32,0),MATCH(W$9,'Desconto Processos'!$B$3:$H$3,0))+INDEX('Acrescimo Tangente'!$B$4:$W$31,MATCH($A23,$A$10:$A$37,0),MATCH(W$9,$C$9:$X$9,0)))</f>
        <v>2.2999999999999998</v>
      </c>
      <c r="X23" s="19">
        <f>2*(-1*INDEX('Desconto Processos'!$B$5:$H$32,MATCH(180-$A23,'Desconto Processos'!$A$5:$A$32,0),MATCH(X$9,'Desconto Processos'!$B$3:$H$3,0))+INDEX('Acrescimo Tangente'!$B$4:$W$31,MATCH($A23,$A$10:$A$37,0),MATCH(X$9,$C$9:$X$9,0)))</f>
        <v>2.5</v>
      </c>
      <c r="Y23" s="17"/>
    </row>
    <row r="24" spans="1:25" s="6" customFormat="1" ht="15.75" x14ac:dyDescent="0.25">
      <c r="A24" s="11">
        <v>85</v>
      </c>
      <c r="B24" s="19">
        <v>1</v>
      </c>
      <c r="C24" s="17">
        <v>0</v>
      </c>
      <c r="D24" s="19">
        <f>2*(-1*INDEX('Desconto Processos'!$B$5:$H$32,MATCH(180-$A24,'Desconto Processos'!$A$5:$A$32,0),MATCH(D$9,'Desconto Processos'!$B$3:$H$3,0))+INDEX('Acrescimo Tangente'!$B$4:$W$31,MATCH($A24,$A$10:$A$37,0),MATCH(D$9,$C$9:$X$9,0)))</f>
        <v>1.7</v>
      </c>
      <c r="E24" s="17">
        <v>0</v>
      </c>
      <c r="F24" s="17">
        <v>0</v>
      </c>
      <c r="G24" s="19">
        <f>2*(-1*INDEX('Desconto Processos'!$B$5:$H$32,MATCH(180-$A24,'Desconto Processos'!$A$5:$A$32,0),MATCH(G$9,'Desconto Processos'!$B$3:$H$3,0))+INDEX('Acrescimo Tangente'!$B$4:$W$31,MATCH($A24,$A$10:$A$37,0),MATCH(G$9,$C$9:$X$9,0)))</f>
        <v>1.8</v>
      </c>
      <c r="H24" s="17">
        <v>0</v>
      </c>
      <c r="I24" s="17">
        <v>0</v>
      </c>
      <c r="J24" s="19">
        <f>2*(-1*INDEX('Desconto Processos'!$B$5:$H$32,MATCH(180-$A24,'Desconto Processos'!$A$5:$A$32,0),MATCH(J$9,'Desconto Processos'!$B$3:$H$3,0))+INDEX('Acrescimo Tangente'!$B$4:$W$31,MATCH($A24,$A$10:$A$37,0),MATCH(J$9,$C$9:$X$9,0)))</f>
        <v>1.9</v>
      </c>
      <c r="K24" s="17">
        <v>0</v>
      </c>
      <c r="L24" s="17">
        <v>0</v>
      </c>
      <c r="M24" s="19">
        <f>2*(-1*INDEX('Desconto Processos'!$B$5:$H$32,MATCH(180-$A24,'Desconto Processos'!$A$5:$A$32,0),MATCH(M$9,'Desconto Processos'!$B$3:$H$3,0))+INDEX('Acrescimo Tangente'!$B$4:$W$31,MATCH($A24,$A$10:$A$37,0),MATCH(M$9,$C$9:$X$9,0)))</f>
        <v>2.1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9">
        <f>2*(-1*INDEX('Desconto Processos'!$B$5:$H$32,MATCH(180-$A24,'Desconto Processos'!$A$5:$A$32,0),MATCH(T$9,'Desconto Processos'!$B$3:$H$3,0))+INDEX('Acrescimo Tangente'!$B$4:$W$31,MATCH($A24,$A$10:$A$37,0),MATCH(T$9,$C$9:$X$9,0)))</f>
        <v>2.4</v>
      </c>
      <c r="U24" s="17">
        <v>0</v>
      </c>
      <c r="V24" s="17">
        <v>0</v>
      </c>
      <c r="W24" s="19">
        <f>2*(-1*INDEX('Desconto Processos'!$B$5:$H$32,MATCH(180-$A24,'Desconto Processos'!$A$5:$A$32,0),MATCH(W$9,'Desconto Processos'!$B$3:$H$3,0))+INDEX('Acrescimo Tangente'!$B$4:$W$31,MATCH($A24,$A$10:$A$37,0),MATCH(W$9,$C$9:$X$9,0)))</f>
        <v>2.68</v>
      </c>
      <c r="X24" s="19">
        <f>2*(-1*INDEX('Desconto Processos'!$B$5:$H$32,MATCH(180-$A24,'Desconto Processos'!$A$5:$A$32,0),MATCH(X$9,'Desconto Processos'!$B$3:$H$3,0))+INDEX('Acrescimo Tangente'!$B$4:$W$31,MATCH($A24,$A$10:$A$37,0),MATCH(X$9,$C$9:$X$9,0)))</f>
        <v>3</v>
      </c>
      <c r="Y24" s="17"/>
    </row>
    <row r="25" spans="1:25" s="6" customFormat="1" ht="15.75" x14ac:dyDescent="0.25">
      <c r="A25" s="20">
        <v>90</v>
      </c>
      <c r="B25" s="21">
        <v>1</v>
      </c>
      <c r="C25" s="21">
        <v>0</v>
      </c>
      <c r="D25" s="21">
        <f>2*(-1*INDEX('Desconto Processos'!$B$5:$H$32,MATCH(180-$A25,'Desconto Processos'!$A$5:$A$32,0),MATCH(D$9,'Desconto Processos'!$B$3:$H$3,0))+INDEX('Acrescimo Tangente'!$B$4:$W$31,MATCH($A25,$A$10:$A$37,0),MATCH(D$9,$C$9:$X$9,0)))</f>
        <v>1.8</v>
      </c>
      <c r="E25" s="21">
        <v>0</v>
      </c>
      <c r="F25" s="21">
        <v>0</v>
      </c>
      <c r="G25" s="21">
        <f>2*(-1*INDEX('Desconto Processos'!$B$5:$H$32,MATCH(180-$A25,'Desconto Processos'!$A$5:$A$32,0),MATCH(G$9,'Desconto Processos'!$B$3:$H$3,0))+INDEX('Acrescimo Tangente'!$B$4:$W$31,MATCH($A25,$A$10:$A$37,0),MATCH(G$9,$C$9:$X$9,0)))</f>
        <v>1.9</v>
      </c>
      <c r="H25" s="21">
        <v>0</v>
      </c>
      <c r="I25" s="21">
        <v>0</v>
      </c>
      <c r="J25" s="21">
        <f>2*(-1*INDEX('Desconto Processos'!$B$5:$H$32,MATCH(180-$A25,'Desconto Processos'!$A$5:$A$32,0),MATCH(J$9,'Desconto Processos'!$B$3:$H$3,0))+INDEX('Acrescimo Tangente'!$B$4:$W$31,MATCH($A25,$A$10:$A$37,0),MATCH(J$9,$C$9:$X$9,0)))</f>
        <v>2</v>
      </c>
      <c r="K25" s="21">
        <v>0</v>
      </c>
      <c r="L25" s="21">
        <v>0</v>
      </c>
      <c r="M25" s="21">
        <f>2*(-1*INDEX('Desconto Processos'!$B$5:$H$32,MATCH(180-$A25,'Desconto Processos'!$A$5:$A$32,0),MATCH(M$9,'Desconto Processos'!$B$3:$H$3,0))+INDEX('Acrescimo Tangente'!$B$4:$W$31,MATCH($A25,$A$10:$A$37,0),MATCH(M$9,$C$9:$X$9,0)))</f>
        <v>2.4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f>2*(-1*INDEX('Desconto Processos'!$B$5:$H$32,MATCH(180-$A25,'Desconto Processos'!$A$5:$A$32,0),MATCH(T$9,'Desconto Processos'!$B$3:$H$3,0))+INDEX('Acrescimo Tangente'!$B$4:$W$31,MATCH($A25,$A$10:$A$37,0),MATCH(T$9,$C$9:$X$9,0)))</f>
        <v>2.8</v>
      </c>
      <c r="U25" s="21">
        <v>0</v>
      </c>
      <c r="V25" s="21">
        <v>0</v>
      </c>
      <c r="W25" s="21">
        <f>2*(-1*INDEX('Desconto Processos'!$B$5:$H$32,MATCH(180-$A25,'Desconto Processos'!$A$5:$A$32,0),MATCH(W$9,'Desconto Processos'!$B$3:$H$3,0))+INDEX('Acrescimo Tangente'!$B$4:$W$31,MATCH($A25,$A$10:$A$37,0),MATCH(W$9,$C$9:$X$9,0)))</f>
        <v>3.3</v>
      </c>
      <c r="X25" s="21">
        <f>2*(-1*INDEX('Desconto Processos'!$B$5:$H$32,MATCH(180-$A25,'Desconto Processos'!$A$5:$A$32,0),MATCH(X$9,'Desconto Processos'!$B$3:$H$3,0))+INDEX('Acrescimo Tangente'!$B$4:$W$31,MATCH($A25,$A$10:$A$37,0),MATCH(X$9,$C$9:$X$9,0)))</f>
        <v>3.8</v>
      </c>
      <c r="Y25" s="17"/>
    </row>
    <row r="26" spans="1:25" s="6" customFormat="1" ht="15.75" x14ac:dyDescent="0.25">
      <c r="A26" s="11">
        <v>95</v>
      </c>
      <c r="B26" s="19">
        <v>1</v>
      </c>
      <c r="C26" s="17">
        <v>0</v>
      </c>
      <c r="D26" s="19">
        <f>2*(-1*INDEX('Desconto Processos'!$B$5:$H$32,MATCH(180-$A26,'Desconto Processos'!$A$5:$A$32,0),MATCH(D$9,'Desconto Processos'!$B$3:$H$3,0))+INDEX('Acrescimo Tangente'!$B$4:$W$31,MATCH($A26,$A$10:$A$37,0),MATCH(D$9,$C$9:$X$9,0)))</f>
        <v>1.98349570449094</v>
      </c>
      <c r="E26" s="17">
        <v>0</v>
      </c>
      <c r="F26" s="17">
        <v>0</v>
      </c>
      <c r="G26" s="19">
        <f>2*(-1*INDEX('Desconto Processos'!$B$5:$H$32,MATCH(180-$A26,'Desconto Processos'!$A$5:$A$32,0),MATCH(G$9,'Desconto Processos'!$B$3:$H$3,0))+INDEX('Acrescimo Tangente'!$B$4:$W$31,MATCH($A26,$A$10:$A$37,0),MATCH(G$9,$C$9:$X$9,0)))</f>
        <v>2.3382808051325026</v>
      </c>
      <c r="H26" s="17">
        <v>0</v>
      </c>
      <c r="I26" s="17">
        <v>0</v>
      </c>
      <c r="J26" s="19">
        <f>2*(-1*INDEX('Desconto Processos'!$B$5:$H$32,MATCH(180-$A26,'Desconto Processos'!$A$5:$A$32,0),MATCH(J$9,'Desconto Processos'!$B$3:$H$3,0))+INDEX('Acrescimo Tangente'!$B$4:$W$31,MATCH($A26,$A$10:$A$37,0),MATCH(J$9,$C$9:$X$9,0)))</f>
        <v>2.5295893062017742</v>
      </c>
      <c r="K26" s="17">
        <v>0</v>
      </c>
      <c r="L26" s="17">
        <v>0</v>
      </c>
      <c r="M26" s="19">
        <f>2*(-1*INDEX('Desconto Processos'!$B$5:$H$32,MATCH(180-$A26,'Desconto Processos'!$A$5:$A$32,0),MATCH(M$9,'Desconto Processos'!$B$3:$H$3,0))+INDEX('Acrescimo Tangente'!$B$4:$W$31,MATCH($A26,$A$10:$A$37,0),MATCH(M$9,$C$9:$X$9,0)))</f>
        <v>2.8391595074848999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9">
        <f>2*(-1*INDEX('Desconto Processos'!$B$5:$H$32,MATCH(180-$A26,'Desconto Processos'!$A$5:$A$32,0),MATCH(T$9,'Desconto Processos'!$B$3:$H$3,0))+INDEX('Acrescimo Tangente'!$B$4:$W$31,MATCH($A26,$A$10:$A$37,0),MATCH(T$9,$C$9:$X$9,0)))</f>
        <v>3.3582999100511515</v>
      </c>
      <c r="U26" s="17">
        <v>0</v>
      </c>
      <c r="V26" s="17">
        <v>0</v>
      </c>
      <c r="W26" s="19">
        <f>2*(-1*INDEX('Desconto Processos'!$B$5:$H$32,MATCH(180-$A26,'Desconto Processos'!$A$5:$A$32,0),MATCH(W$9,'Desconto Processos'!$B$3:$H$3,0))+INDEX('Acrescimo Tangente'!$B$4:$W$31,MATCH($A26,$A$10:$A$37,0),MATCH(W$9,$C$9:$X$9,0)))</f>
        <v>3.7043935117619857</v>
      </c>
      <c r="X26" s="19">
        <f>2*(-1*INDEX('Desconto Processos'!$B$5:$H$32,MATCH(180-$A26,'Desconto Processos'!$A$5:$A$32,0),MATCH(X$9,'Desconto Processos'!$B$3:$H$3,0))+INDEX('Acrescimo Tangente'!$B$4:$W$31,MATCH($A26,$A$10:$A$37,0),MATCH(X$9,$C$9:$X$9,0)))</f>
        <v>4.2870105139005288</v>
      </c>
      <c r="Y26" s="17"/>
    </row>
    <row r="27" spans="1:25" s="6" customFormat="1" ht="15.75" x14ac:dyDescent="0.25">
      <c r="A27" s="11">
        <v>100</v>
      </c>
      <c r="B27" s="19">
        <v>1</v>
      </c>
      <c r="C27" s="17">
        <v>0</v>
      </c>
      <c r="D27" s="19">
        <f>2*(-1*INDEX('Desconto Processos'!$B$5:$H$32,MATCH(180-$A27,'Desconto Processos'!$A$5:$A$32,0),MATCH(D$9,'Desconto Processos'!$B$3:$H$3,0))+INDEX('Acrescimo Tangente'!$B$4:$W$31,MATCH($A27,$A$10:$A$37,0),MATCH(D$9,$C$9:$X$9,0)))</f>
        <v>2.5053650888956822</v>
      </c>
      <c r="E27" s="17">
        <v>0</v>
      </c>
      <c r="F27" s="17">
        <v>0</v>
      </c>
      <c r="G27" s="19">
        <f>2*(-1*INDEX('Desconto Processos'!$B$5:$H$32,MATCH(180-$A27,'Desconto Processos'!$A$5:$A$32,0),MATCH(G$9,'Desconto Processos'!$B$3:$H$3,0))+INDEX('Acrescimo Tangente'!$B$4:$W$31,MATCH($A27,$A$10:$A$37,0),MATCH(G$9,$C$9:$X$9,0)))</f>
        <v>2.6204172444522085</v>
      </c>
      <c r="H27" s="17">
        <v>0</v>
      </c>
      <c r="I27" s="17">
        <v>0</v>
      </c>
      <c r="J27" s="19">
        <f>2*(-1*INDEX('Desconto Processos'!$B$5:$H$32,MATCH(180-$A27,'Desconto Processos'!$A$5:$A$32,0),MATCH(J$9,'Desconto Processos'!$B$3:$H$3,0))+INDEX('Acrescimo Tangente'!$B$4:$W$31,MATCH($A27,$A$10:$A$37,0),MATCH(J$9,$C$9:$X$9,0)))</f>
        <v>2.9121708370464185</v>
      </c>
      <c r="K27" s="17">
        <v>0</v>
      </c>
      <c r="L27" s="17">
        <v>0</v>
      </c>
      <c r="M27" s="19">
        <f>2*(-1*INDEX('Desconto Processos'!$B$5:$H$32,MATCH(180-$A27,'Desconto Processos'!$A$5:$A$32,0),MATCH(M$9,'Desconto Processos'!$B$3:$H$3,0))+INDEX('Acrescimo Tangente'!$B$4:$W$31,MATCH($A27,$A$10:$A$37,0),MATCH(M$9,$C$9:$X$9,0)))</f>
        <v>3.2422751481594703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9">
        <f>2*(-1*INDEX('Desconto Processos'!$B$5:$H$32,MATCH(180-$A27,'Desconto Processos'!$A$5:$A$32,0),MATCH(T$9,'Desconto Processos'!$B$3:$H$3,0))+INDEX('Acrescimo Tangente'!$B$4:$W$31,MATCH($A27,$A$10:$A$37,0),MATCH(T$9,$C$9:$X$9,0)))</f>
        <v>3.902483770385575</v>
      </c>
      <c r="U27" s="17">
        <v>0</v>
      </c>
      <c r="V27" s="17">
        <v>0</v>
      </c>
      <c r="W27" s="19">
        <f>2*(-1*INDEX('Desconto Processos'!$B$5:$H$32,MATCH(180-$A27,'Desconto Processos'!$A$5:$A$32,0),MATCH(W$9,'Desconto Processos'!$B$3:$H$3,0))+INDEX('Acrescimo Tangente'!$B$4:$W$31,MATCH($A27,$A$10:$A$37,0),MATCH(W$9,$C$9:$X$9,0)))</f>
        <v>4.4092895185363101</v>
      </c>
      <c r="X27" s="19">
        <f>2*(-1*INDEX('Desconto Processos'!$B$5:$H$32,MATCH(180-$A27,'Desconto Processos'!$A$5:$A$32,0),MATCH(X$9,'Desconto Processos'!$B$3:$H$3,0))+INDEX('Acrescimo Tangente'!$B$4:$W$31,MATCH($A27,$A$10:$A$37,0),MATCH(X$9,$C$9:$X$9,0)))</f>
        <v>4.9927967037247312</v>
      </c>
      <c r="Y27" s="17"/>
    </row>
    <row r="28" spans="1:25" s="6" customFormat="1" ht="15.75" x14ac:dyDescent="0.25">
      <c r="A28" s="11">
        <v>105</v>
      </c>
      <c r="B28" s="19">
        <v>1</v>
      </c>
      <c r="C28" s="17">
        <v>0</v>
      </c>
      <c r="D28" s="19">
        <f>2*(-1*INDEX('Desconto Processos'!$B$5:$H$32,MATCH(180-$A28,'Desconto Processos'!$A$5:$A$32,0),MATCH(D$9,'Desconto Processos'!$B$3:$H$3,0))+INDEX('Acrescimo Tangente'!$B$4:$W$31,MATCH($A28,$A$10:$A$37,0),MATCH(D$9,$C$9:$X$9,0)))</f>
        <v>2.8735465659330641</v>
      </c>
      <c r="E28" s="17">
        <v>0</v>
      </c>
      <c r="F28" s="17">
        <v>0</v>
      </c>
      <c r="G28" s="19">
        <f>2*(-1*INDEX('Desconto Processos'!$B$5:$H$32,MATCH(180-$A28,'Desconto Processos'!$A$5:$A$32,0),MATCH(G$9,'Desconto Processos'!$B$3:$H$3,0))+INDEX('Acrescimo Tangente'!$B$4:$W$31,MATCH($A28,$A$10:$A$37,0),MATCH(G$9,$C$9:$X$9,0)))</f>
        <v>3.0554817896377875</v>
      </c>
      <c r="H28" s="17">
        <v>0</v>
      </c>
      <c r="I28" s="17">
        <v>0</v>
      </c>
      <c r="J28" s="19">
        <f>2*(-1*INDEX('Desconto Processos'!$B$5:$H$32,MATCH(180-$A28,'Desconto Processos'!$A$5:$A$32,0),MATCH(J$9,'Desconto Processos'!$B$3:$H$3,0))+INDEX('Acrescimo Tangente'!$B$4:$W$31,MATCH($A28,$A$10:$A$37,0),MATCH(J$9,$C$9:$X$9,0)))</f>
        <v>3.3587071624789933</v>
      </c>
      <c r="K28" s="17">
        <v>0</v>
      </c>
      <c r="L28" s="17">
        <v>0</v>
      </c>
      <c r="M28" s="19">
        <f>2*(-1*INDEX('Desconto Processos'!$B$5:$H$32,MATCH(180-$A28,'Desconto Processos'!$A$5:$A$32,0),MATCH(M$9,'Desconto Processos'!$B$3:$H$3,0))+INDEX('Acrescimo Tangente'!$B$4:$W$31,MATCH($A28,$A$10:$A$37,0),MATCH(M$9,$C$9:$X$9,0)))</f>
        <v>3.72257760988844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9">
        <f>2*(-1*INDEX('Desconto Processos'!$B$5:$H$32,MATCH(180-$A28,'Desconto Processos'!$A$5:$A$32,0),MATCH(T$9,'Desconto Processos'!$B$3:$H$3,0))+INDEX('Acrescimo Tangente'!$B$4:$W$31,MATCH($A28,$A$10:$A$37,0),MATCH(T$9,$C$9:$X$9,0)))</f>
        <v>4.6503185047073341</v>
      </c>
      <c r="U28" s="17">
        <v>0</v>
      </c>
      <c r="V28" s="17">
        <v>0</v>
      </c>
      <c r="W28" s="19">
        <f>2*(-1*INDEX('Desconto Processos'!$B$5:$H$32,MATCH(180-$A28,'Desconto Processos'!$A$5:$A$32,0),MATCH(W$9,'Desconto Processos'!$B$3:$H$3,0))+INDEX('Acrescimo Tangente'!$B$4:$W$31,MATCH($A28,$A$10:$A$37,0),MATCH(W$9,$C$9:$X$9,0)))</f>
        <v>5.2354791012532633</v>
      </c>
      <c r="X28" s="19">
        <f>2*(-1*INDEX('Desconto Processos'!$B$5:$H$32,MATCH(180-$A28,'Desconto Processos'!$A$5:$A$32,0),MATCH(X$9,'Desconto Processos'!$B$3:$H$3,0))+INDEX('Acrescimo Tangente'!$B$4:$W$31,MATCH($A28,$A$10:$A$37,0),MATCH(X$9,$C$9:$X$9,0)))</f>
        <v>5.9419298469356736</v>
      </c>
      <c r="Y28" s="17"/>
    </row>
    <row r="29" spans="1:25" s="6" customFormat="1" ht="15.75" x14ac:dyDescent="0.25">
      <c r="A29" s="11">
        <v>110</v>
      </c>
      <c r="B29" s="19">
        <v>1</v>
      </c>
      <c r="C29" s="17">
        <v>0</v>
      </c>
      <c r="D29" s="19">
        <f>2*(-1*INDEX('Desconto Processos'!$B$5:$H$32,MATCH(180-$A29,'Desconto Processos'!$A$5:$A$32,0),MATCH(D$9,'Desconto Processos'!$B$3:$H$3,0))+INDEX('Acrescimo Tangente'!$B$4:$W$31,MATCH($A29,$A$10:$A$37,0),MATCH(D$9,$C$9:$X$9,0)))</f>
        <v>3.1982216283168814</v>
      </c>
      <c r="E29" s="17">
        <v>0</v>
      </c>
      <c r="F29" s="17">
        <v>0</v>
      </c>
      <c r="G29" s="19">
        <f>2*(-1*INDEX('Desconto Processos'!$B$5:$H$32,MATCH(180-$A29,'Desconto Processos'!$A$5:$A$32,0),MATCH(G$9,'Desconto Processos'!$B$3:$H$3,0))+INDEX('Acrescimo Tangente'!$B$4:$W$31,MATCH($A29,$A$10:$A$37,0),MATCH(G$9,$C$9:$X$9,0)))</f>
        <v>3.45511043236215</v>
      </c>
      <c r="H29" s="17">
        <v>0</v>
      </c>
      <c r="I29" s="17">
        <v>0</v>
      </c>
      <c r="J29" s="19">
        <f>2*(-1*INDEX('Desconto Processos'!$B$5:$H$32,MATCH(180-$A29,'Desconto Processos'!$A$5:$A$32,0),MATCH(J$9,'Desconto Processos'!$B$3:$H$3,0))+INDEX('Acrescimo Tangente'!$B$4:$W$31,MATCH($A29,$A$10:$A$37,0),MATCH(J$9,$C$9:$X$9,0)))</f>
        <v>3.8832584391042646</v>
      </c>
      <c r="K29" s="17">
        <v>0</v>
      </c>
      <c r="L29" s="17">
        <v>0</v>
      </c>
      <c r="M29" s="19">
        <f>2*(-1*INDEX('Desconto Processos'!$B$5:$H$32,MATCH(180-$A29,'Desconto Processos'!$A$5:$A$32,0),MATCH(M$9,'Desconto Processos'!$B$3:$H$3,0))+INDEX('Acrescimo Tangente'!$B$4:$W$31,MATCH($A29,$A$10:$A$37,0),MATCH(M$9,$C$9:$X$9,0)))</f>
        <v>4.3970360471948027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9">
        <f>2*(-1*INDEX('Desconto Processos'!$B$5:$H$32,MATCH(180-$A29,'Desconto Processos'!$A$5:$A$32,0),MATCH(T$9,'Desconto Processos'!$B$3:$H$3,0))+INDEX('Acrescimo Tangente'!$B$4:$W$31,MATCH($A29,$A$10:$A$37,0),MATCH(T$9,$C$9:$X$9,0)))</f>
        <v>5.424591263375877</v>
      </c>
      <c r="U29" s="17">
        <v>0</v>
      </c>
      <c r="V29" s="17">
        <v>0</v>
      </c>
      <c r="W29" s="19">
        <f>2*(-1*INDEX('Desconto Processos'!$B$5:$H$32,MATCH(180-$A29,'Desconto Processos'!$A$5:$A$32,0),MATCH(W$9,'Desconto Processos'!$B$3:$H$3,0))+INDEX('Acrescimo Tangente'!$B$4:$W$31,MATCH($A29,$A$10:$A$37,0),MATCH(W$9,$C$9:$X$9,0)))</f>
        <v>6.1096280741632611</v>
      </c>
      <c r="X29" s="19">
        <f>2*(-1*INDEX('Desconto Processos'!$B$5:$H$32,MATCH(180-$A29,'Desconto Processos'!$A$5:$A$32,0),MATCH(X$9,'Desconto Processos'!$B$3:$H$3,0))+INDEX('Acrescimo Tangente'!$B$4:$W$31,MATCH($A29,$A$10:$A$37,0),MATCH(X$9,$C$9:$X$9,0)))</f>
        <v>7.0659240876474909</v>
      </c>
      <c r="Y29" s="17"/>
    </row>
    <row r="30" spans="1:25" s="6" customFormat="1" ht="15.75" x14ac:dyDescent="0.25">
      <c r="A30" s="11">
        <v>115</v>
      </c>
      <c r="B30" s="19">
        <v>1</v>
      </c>
      <c r="C30" s="17">
        <v>0</v>
      </c>
      <c r="D30" s="19">
        <f>2*(-1*INDEX('Desconto Processos'!$B$5:$H$32,MATCH(180-$A30,'Desconto Processos'!$A$5:$A$32,0),MATCH(D$9,'Desconto Processos'!$B$3:$H$3,0))+INDEX('Acrescimo Tangente'!$B$4:$W$31,MATCH($A30,$A$10:$A$37,0),MATCH(D$9,$C$9:$X$9,0)))</f>
        <v>3.692679423893459</v>
      </c>
      <c r="E30" s="17">
        <v>0</v>
      </c>
      <c r="F30" s="17">
        <v>0</v>
      </c>
      <c r="G30" s="19">
        <f>2*(-1*INDEX('Desconto Processos'!$B$5:$H$32,MATCH(180-$A30,'Desconto Processos'!$A$5:$A$32,0),MATCH(G$9,'Desconto Processos'!$B$3:$H$3,0))+INDEX('Acrescimo Tangente'!$B$4:$W$31,MATCH($A30,$A$10:$A$37,0),MATCH(G$9,$C$9:$X$9,0)))</f>
        <v>3.9344907701639533</v>
      </c>
      <c r="H30" s="17">
        <v>0</v>
      </c>
      <c r="I30" s="17">
        <v>0</v>
      </c>
      <c r="J30" s="19">
        <f>2*(-1*INDEX('Desconto Processos'!$B$5:$H$32,MATCH(180-$A30,'Desconto Processos'!$A$5:$A$32,0),MATCH(J$9,'Desconto Processos'!$B$3:$H$3,0))+INDEX('Acrescimo Tangente'!$B$4:$W$31,MATCH($A30,$A$10:$A$37,0),MATCH(J$9,$C$9:$X$9,0)))</f>
        <v>4.5041763472814438</v>
      </c>
      <c r="K30" s="17">
        <v>0</v>
      </c>
      <c r="L30" s="17">
        <v>0</v>
      </c>
      <c r="M30" s="19">
        <f>2*(-1*INDEX('Desconto Processos'!$B$5:$H$32,MATCH(180-$A30,'Desconto Processos'!$A$5:$A$32,0),MATCH(M$9,'Desconto Processos'!$B$3:$H$3,0))+INDEX('Acrescimo Tangente'!$B$4:$W$31,MATCH($A30,$A$10:$A$37,0),MATCH(M$9,$C$9:$X$9,0)))</f>
        <v>5.087799039822432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9">
        <f>2*(-1*INDEX('Desconto Processos'!$B$5:$H$32,MATCH(180-$A30,'Desconto Processos'!$A$5:$A$32,0),MATCH(T$9,'Desconto Processos'!$B$3:$H$3,0))+INDEX('Acrescimo Tangente'!$B$4:$W$31,MATCH($A30,$A$10:$A$37,0),MATCH(T$9,$C$9:$X$9,0)))</f>
        <v>6.5550444249044091</v>
      </c>
      <c r="U30" s="17">
        <v>0</v>
      </c>
      <c r="V30" s="17">
        <v>0</v>
      </c>
      <c r="W30" s="19">
        <f>2*(-1*INDEX('Desconto Processos'!$B$5:$H$32,MATCH(180-$A30,'Desconto Processos'!$A$5:$A$32,0),MATCH(W$9,'Desconto Processos'!$B$3:$H$3,0))+INDEX('Acrescimo Tangente'!$B$4:$W$31,MATCH($A30,$A$10:$A$37,0),MATCH(W$9,$C$9:$X$9,0)))</f>
        <v>7.2665413482923933</v>
      </c>
      <c r="X30" s="19">
        <f>2*(-1*INDEX('Desconto Processos'!$B$5:$H$32,MATCH(180-$A30,'Desconto Processos'!$A$5:$A$32,0),MATCH(X$9,'Desconto Processos'!$B$3:$H$3,0))+INDEX('Acrescimo Tangente'!$B$4:$W$31,MATCH($A30,$A$10:$A$37,0),MATCH(X$9,$C$9:$X$9,0)))</f>
        <v>8.4059125025273733</v>
      </c>
      <c r="Y30" s="17"/>
    </row>
    <row r="31" spans="1:25" s="6" customFormat="1" ht="15.75" x14ac:dyDescent="0.25">
      <c r="A31" s="11">
        <v>120</v>
      </c>
      <c r="B31" s="19">
        <v>1</v>
      </c>
      <c r="C31" s="17">
        <v>0</v>
      </c>
      <c r="D31" s="19">
        <f>2*(-1*INDEX('Desconto Processos'!$B$5:$H$32,MATCH(180-$A31,'Desconto Processos'!$A$5:$A$32,0),MATCH(D$9,'Desconto Processos'!$B$3:$H$3,0))+INDEX('Acrescimo Tangente'!$B$4:$W$31,MATCH($A31,$A$10:$A$37,0),MATCH(D$9,$C$9:$X$9,0)))</f>
        <v>4.274613391789285</v>
      </c>
      <c r="E31" s="17">
        <v>0</v>
      </c>
      <c r="F31" s="17">
        <v>0</v>
      </c>
      <c r="G31" s="19">
        <f>2*(-1*INDEX('Desconto Processos'!$B$5:$H$32,MATCH(180-$A31,'Desconto Processos'!$A$5:$A$32,0),MATCH(G$9,'Desconto Processos'!$B$3:$H$3,0))+INDEX('Acrescimo Tangente'!$B$4:$W$31,MATCH($A31,$A$10:$A$37,0),MATCH(G$9,$C$9:$X$9,0)))</f>
        <v>4.6138438763306118</v>
      </c>
      <c r="H31" s="17">
        <v>0</v>
      </c>
      <c r="I31" s="17">
        <v>0</v>
      </c>
      <c r="J31" s="19">
        <f>2*(-1*INDEX('Desconto Processos'!$B$5:$H$32,MATCH(180-$A31,'Desconto Processos'!$A$5:$A$32,0),MATCH(J$9,'Desconto Processos'!$B$3:$H$3,0))+INDEX('Acrescimo Tangente'!$B$4:$W$31,MATCH($A31,$A$10:$A$37,0),MATCH(J$9,$C$9:$X$9,0)))</f>
        <v>5.2458946838994889</v>
      </c>
      <c r="K31" s="17">
        <v>0</v>
      </c>
      <c r="L31" s="17">
        <v>0</v>
      </c>
      <c r="M31" s="19">
        <f>2*(-1*INDEX('Desconto Processos'!$B$5:$H$32,MATCH(180-$A31,'Desconto Processos'!$A$5:$A$32,0),MATCH(M$9,'Desconto Processos'!$B$3:$H$3,0))+INDEX('Acrescimo Tangente'!$B$4:$W$31,MATCH($A31,$A$10:$A$37,0),MATCH(M$9,$C$9:$X$9,0)))</f>
        <v>6.024355652982142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9">
        <f>2*(-1*INDEX('Desconto Processos'!$B$5:$H$32,MATCH(180-$A31,'Desconto Processos'!$A$5:$A$32,0),MATCH(T$9,'Desconto Processos'!$B$3:$H$3,0))+INDEX('Acrescimo Tangente'!$B$4:$W$31,MATCH($A31,$A$10:$A$37,0),MATCH(T$9,$C$9:$X$9,0)))</f>
        <v>7.9812775911474478</v>
      </c>
      <c r="U31" s="17">
        <v>0</v>
      </c>
      <c r="V31" s="17">
        <v>0</v>
      </c>
      <c r="W31" s="19">
        <f>2*(-1*INDEX('Desconto Processos'!$B$5:$H$32,MATCH(180-$A31,'Desconto Processos'!$A$5:$A$32,0),MATCH(W$9,'Desconto Processos'!$B$3:$H$3,0))+INDEX('Acrescimo Tangente'!$B$4:$W$31,MATCH($A31,$A$10:$A$37,0),MATCH(W$9,$C$9:$X$9,0)))</f>
        <v>8.9525588832576517</v>
      </c>
      <c r="X31" s="19">
        <f>2*(-1*INDEX('Desconto Processos'!$B$5:$H$32,MATCH(180-$A31,'Desconto Processos'!$A$5:$A$32,0),MATCH(X$9,'Desconto Processos'!$B$3:$H$3,0))+INDEX('Acrescimo Tangente'!$B$4:$W$31,MATCH($A31,$A$10:$A$37,0),MATCH(X$9,$C$9:$X$9,0)))</f>
        <v>10.416660498395405</v>
      </c>
      <c r="Y31" s="17"/>
    </row>
    <row r="32" spans="1:25" s="6" customFormat="1" ht="15.75" x14ac:dyDescent="0.25">
      <c r="A32" s="11">
        <v>125</v>
      </c>
      <c r="B32" s="19">
        <v>1</v>
      </c>
      <c r="C32" s="17">
        <v>0</v>
      </c>
      <c r="D32" s="19">
        <f>2*(-1*INDEX('Desconto Processos'!$B$5:$H$32,MATCH(180-$A32,'Desconto Processos'!$A$5:$A$32,0),MATCH(D$9,'Desconto Processos'!$B$3:$H$3,0))+INDEX('Acrescimo Tangente'!$B$4:$W$31,MATCH($A32,$A$10:$A$37,0),MATCH(D$9,$C$9:$X$9,0)))</f>
        <v>4.9681249332788981</v>
      </c>
      <c r="E32" s="17">
        <v>0</v>
      </c>
      <c r="F32" s="17">
        <v>0</v>
      </c>
      <c r="G32" s="19">
        <f>2*(-1*INDEX('Desconto Processos'!$B$5:$H$32,MATCH(180-$A32,'Desconto Processos'!$A$5:$A$32,0),MATCH(G$9,'Desconto Processos'!$B$3:$H$3,0))+INDEX('Acrescimo Tangente'!$B$4:$W$31,MATCH($A32,$A$10:$A$37,0),MATCH(G$9,$C$9:$X$9,0)))</f>
        <v>5.4207142094615968</v>
      </c>
      <c r="H32" s="17">
        <v>0</v>
      </c>
      <c r="I32" s="17">
        <v>0</v>
      </c>
      <c r="J32" s="19">
        <f>2*(-1*INDEX('Desconto Processos'!$B$5:$H$32,MATCH(180-$A32,'Desconto Processos'!$A$5:$A$32,0),MATCH(J$9,'Desconto Processos'!$B$3:$H$3,0))+INDEX('Acrescimo Tangente'!$B$4:$W$31,MATCH($A32,$A$10:$A$37,0),MATCH(J$9,$C$9:$X$9,0)))</f>
        <v>6.141696336432763</v>
      </c>
      <c r="K32" s="17">
        <v>0</v>
      </c>
      <c r="L32" s="17">
        <v>0</v>
      </c>
      <c r="M32" s="19">
        <f>2*(-1*INDEX('Desconto Processos'!$B$5:$H$32,MATCH(180-$A32,'Desconto Processos'!$A$5:$A$32,0),MATCH(M$9,'Desconto Processos'!$B$3:$H$3,0))+INDEX('Acrescimo Tangente'!$B$4:$W$31,MATCH($A32,$A$10:$A$37,0),MATCH(M$9,$C$9:$X$9,0)))</f>
        <v>7.046874888798162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9">
        <f>2*(-1*INDEX('Desconto Processos'!$B$5:$H$32,MATCH(180-$A32,'Desconto Processos'!$A$5:$A$32,0),MATCH(T$9,'Desconto Processos'!$B$3:$H$3,0))+INDEX('Acrescimo Tangente'!$B$4:$W$31,MATCH($A32,$A$10:$A$37,0),MATCH(T$9,$C$9:$X$9,0)))</f>
        <v>9.6572319935289617</v>
      </c>
      <c r="U32" s="17">
        <v>0</v>
      </c>
      <c r="V32" s="17">
        <v>0</v>
      </c>
      <c r="W32" s="19">
        <f>2*(-1*INDEX('Desconto Processos'!$B$5:$H$32,MATCH(180-$A32,'Desconto Processos'!$A$5:$A$32,0),MATCH(W$9,'Desconto Processos'!$B$3:$H$3,0))+INDEX('Acrescimo Tangente'!$B$4:$W$31,MATCH($A32,$A$10:$A$37,0),MATCH(W$9,$C$9:$X$9,0)))</f>
        <v>11.030803396682826</v>
      </c>
      <c r="X32" s="19">
        <f>2*(-1*INDEX('Desconto Processos'!$B$5:$H$32,MATCH(180-$A32,'Desconto Processos'!$A$5:$A$32,0),MATCH(X$9,'Desconto Processos'!$B$3:$H$3,0))+INDEX('Acrescimo Tangente'!$B$4:$W$31,MATCH($A32,$A$10:$A$37,0),MATCH(X$9,$C$9:$X$9,0)))</f>
        <v>12.772767650625159</v>
      </c>
      <c r="Y32" s="17"/>
    </row>
    <row r="33" spans="1:37" s="6" customFormat="1" ht="15.75" x14ac:dyDescent="0.25">
      <c r="A33" s="11">
        <v>130</v>
      </c>
      <c r="B33" s="19">
        <v>1</v>
      </c>
      <c r="C33" s="17">
        <v>0</v>
      </c>
      <c r="D33" s="19">
        <f>2*(-1*INDEX('Desconto Processos'!$B$5:$H$32,MATCH(180-$A33,'Desconto Processos'!$A$5:$A$32,0),MATCH(D$9,'Desconto Processos'!$B$3:$H$3,0))+INDEX('Acrescimo Tangente'!$B$4:$W$31,MATCH($A33,$A$10:$A$37,0),MATCH(D$9,$C$9:$X$9,0)))</f>
        <v>5.8069290661401469</v>
      </c>
      <c r="E33" s="17">
        <v>0</v>
      </c>
      <c r="F33" s="17">
        <v>0</v>
      </c>
      <c r="G33" s="19">
        <f>2*(-1*INDEX('Desconto Processos'!$B$5:$H$32,MATCH(180-$A33,'Desconto Processos'!$A$5:$A$32,0),MATCH(G$9,'Desconto Processos'!$B$3:$H$3,0))+INDEX('Acrescimo Tangente'!$B$4:$W$31,MATCH($A33,$A$10:$A$37,0),MATCH(G$9,$C$9:$X$9,0)))</f>
        <v>6.2936332184458816</v>
      </c>
      <c r="H33" s="17">
        <v>0</v>
      </c>
      <c r="I33" s="17">
        <v>0</v>
      </c>
      <c r="J33" s="19">
        <f>2*(-1*INDEX('Desconto Processos'!$B$5:$H$32,MATCH(180-$A33,'Desconto Processos'!$A$5:$A$32,0),MATCH(J$9,'Desconto Processos'!$B$3:$H$3,0))+INDEX('Acrescimo Tangente'!$B$4:$W$31,MATCH($A33,$A$10:$A$37,0),MATCH(J$9,$C$9:$X$9,0)))</f>
        <v>7.2381401389554405</v>
      </c>
      <c r="K33" s="17">
        <v>0</v>
      </c>
      <c r="L33" s="17">
        <v>0</v>
      </c>
      <c r="M33" s="19">
        <f>2*(-1*INDEX('Desconto Processos'!$B$5:$H$32,MATCH(180-$A33,'Desconto Processos'!$A$5:$A$32,0),MATCH(M$9,'Desconto Processos'!$B$3:$H$3,0))+INDEX('Acrescimo Tangente'!$B$4:$W$31,MATCH($A33,$A$10:$A$37,0),MATCH(M$9,$C$9:$X$9,0)))</f>
        <v>8.411548443566911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9">
        <f>2*(-1*INDEX('Desconto Processos'!$B$5:$H$32,MATCH(180-$A33,'Desconto Processos'!$A$5:$A$32,0),MATCH(T$9,'Desconto Processos'!$B$3:$H$3,0))+INDEX('Acrescimo Tangente'!$B$4:$W$31,MATCH($A33,$A$10:$A$37,0),MATCH(T$9,$C$9:$X$9,0)))</f>
        <v>11.558365052789854</v>
      </c>
      <c r="U33" s="17">
        <v>0</v>
      </c>
      <c r="V33" s="17">
        <v>0</v>
      </c>
      <c r="W33" s="19">
        <f>2*(-1*INDEX('Desconto Processos'!$B$5:$H$32,MATCH(180-$A33,'Desconto Processos'!$A$5:$A$32,0),MATCH(W$9,'Desconto Processos'!$B$3:$H$3,0))+INDEX('Acrescimo Tangente'!$B$4:$W$31,MATCH($A33,$A$10:$A$37,0),MATCH(W$9,$C$9:$X$9,0)))</f>
        <v>13.389576125605148</v>
      </c>
      <c r="X33" s="19">
        <f>2*(-1*INDEX('Desconto Processos'!$B$5:$H$32,MATCH(180-$A33,'Desconto Processos'!$A$5:$A$32,0),MATCH(X$9,'Desconto Processos'!$B$3:$H$3,0))+INDEX('Acrescimo Tangente'!$B$4:$W$31,MATCH($A33,$A$10:$A$37,0),MATCH(X$9,$C$9:$X$9,0)))</f>
        <v>15.678589966624266</v>
      </c>
      <c r="Y33" s="17"/>
    </row>
    <row r="34" spans="1:37" s="6" customFormat="1" ht="15.75" x14ac:dyDescent="0.25">
      <c r="A34" s="11">
        <v>135</v>
      </c>
      <c r="B34" s="19">
        <v>1</v>
      </c>
      <c r="C34" s="17">
        <v>0</v>
      </c>
      <c r="D34" s="19">
        <f>2*(-1*INDEX('Desconto Processos'!$B$5:$H$32,MATCH(180-$A34,'Desconto Processos'!$A$5:$A$32,0),MATCH(D$9,'Desconto Processos'!$B$3:$H$3,0))+INDEX('Acrescimo Tangente'!$B$4:$W$31,MATCH($A34,$A$10:$A$37,0),MATCH(D$9,$C$9:$X$9,0)))</f>
        <v>6.7396969619669997</v>
      </c>
      <c r="E34" s="17">
        <v>0</v>
      </c>
      <c r="F34" s="17">
        <v>0</v>
      </c>
      <c r="G34" s="19">
        <f>2*(-1*INDEX('Desconto Processos'!$B$5:$H$32,MATCH(180-$A34,'Desconto Processos'!$A$5:$A$32,0),MATCH(G$9,'Desconto Processos'!$B$3:$H$3,0))+INDEX('Acrescimo Tangente'!$B$4:$W$31,MATCH($A34,$A$10:$A$37,0),MATCH(G$9,$C$9:$X$9,0)))</f>
        <v>7.3882250993908567</v>
      </c>
      <c r="H34" s="17">
        <v>0</v>
      </c>
      <c r="I34" s="17">
        <v>0</v>
      </c>
      <c r="J34" s="19">
        <f>2*(-1*INDEX('Desconto Processos'!$B$5:$H$32,MATCH(180-$A34,'Desconto Processos'!$A$5:$A$32,0),MATCH(J$9,'Desconto Processos'!$B$3:$H$3,0))+INDEX('Acrescimo Tangente'!$B$4:$W$31,MATCH($A34,$A$10:$A$37,0),MATCH(J$9,$C$9:$X$9,0)))</f>
        <v>8.6024386617639514</v>
      </c>
      <c r="K34" s="17">
        <v>0</v>
      </c>
      <c r="L34" s="17">
        <v>0</v>
      </c>
      <c r="M34" s="19">
        <f>2*(-1*INDEX('Desconto Processos'!$B$5:$H$32,MATCH(180-$A34,'Desconto Processos'!$A$5:$A$32,0),MATCH(M$9,'Desconto Processos'!$B$3:$H$3,0))+INDEX('Acrescimo Tangente'!$B$4:$W$31,MATCH($A34,$A$10:$A$37,0),MATCH(M$9,$C$9:$X$9,0)))</f>
        <v>10.299494936611666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9">
        <f>2*(-1*INDEX('Desconto Processos'!$B$5:$H$32,MATCH(180-$A34,'Desconto Processos'!$A$5:$A$32,0),MATCH(T$9,'Desconto Processos'!$B$3:$H$3,0))+INDEX('Acrescimo Tangente'!$B$4:$W$31,MATCH($A34,$A$10:$A$37,0),MATCH(T$9,$C$9:$X$9,0)))</f>
        <v>13.993607486307093</v>
      </c>
      <c r="U34" s="17">
        <v>0</v>
      </c>
      <c r="V34" s="17">
        <v>0</v>
      </c>
      <c r="W34" s="19">
        <f>2*(-1*INDEX('Desconto Processos'!$B$5:$H$32,MATCH(180-$A34,'Desconto Processos'!$A$5:$A$32,0),MATCH(W$9,'Desconto Processos'!$B$3:$H$3,0))+INDEX('Acrescimo Tangente'!$B$4:$W$31,MATCH($A34,$A$10:$A$37,0),MATCH(W$9,$C$9:$X$9,0)))</f>
        <v>16.356349186104048</v>
      </c>
      <c r="X34" s="19">
        <f>2*(-1*INDEX('Desconto Processos'!$B$5:$H$32,MATCH(180-$A34,'Desconto Processos'!$A$5:$A$32,0),MATCH(X$9,'Desconto Processos'!$B$3:$H$3,0))+INDEX('Acrescimo Tangente'!$B$4:$W$31,MATCH($A34,$A$10:$A$37,0),MATCH(X$9,$C$9:$X$9,0)))</f>
        <v>19.084776310850234</v>
      </c>
      <c r="Y34" s="17"/>
    </row>
    <row r="35" spans="1:37" s="6" customFormat="1" ht="15.75" x14ac:dyDescent="0.25">
      <c r="A35" s="11">
        <v>140</v>
      </c>
      <c r="B35" s="19">
        <v>1</v>
      </c>
      <c r="C35" s="17">
        <v>0</v>
      </c>
      <c r="D35" s="19">
        <f>2*(-1*INDEX('Desconto Processos'!$B$5:$H$32,MATCH(180-$A35,'Desconto Processos'!$A$5:$A$32,0),MATCH(D$9,'Desconto Processos'!$B$3:$H$3,0))+INDEX('Acrescimo Tangente'!$B$4:$W$31,MATCH($A35,$A$10:$A$37,0),MATCH(D$9,$C$9:$X$9,0)))</f>
        <v>8.0394051617094142</v>
      </c>
      <c r="E35" s="17">
        <v>0</v>
      </c>
      <c r="F35" s="17">
        <v>0</v>
      </c>
      <c r="G35" s="19">
        <f>2*(-1*INDEX('Desconto Processos'!$B$5:$H$32,MATCH(180-$A35,'Desconto Processos'!$A$5:$A$32,0),MATCH(G$9,'Desconto Processos'!$B$3:$H$3,0))+INDEX('Acrescimo Tangente'!$B$4:$W$31,MATCH($A35,$A$10:$A$37,0),MATCH(G$9,$C$9:$X$9,0)))</f>
        <v>8.8878916133821875</v>
      </c>
      <c r="H35" s="17">
        <v>0</v>
      </c>
      <c r="I35" s="17">
        <v>0</v>
      </c>
      <c r="J35" s="19">
        <f>2*(-1*INDEX('Desconto Processos'!$B$5:$H$32,MATCH(180-$A35,'Desconto Processos'!$A$5:$A$32,0),MATCH(J$9,'Desconto Processos'!$B$3:$H$3,0))+INDEX('Acrescimo Tangente'!$B$4:$W$31,MATCH($A35,$A$10:$A$37,0),MATCH(J$9,$C$9:$X$9,0)))</f>
        <v>10.335369032836809</v>
      </c>
      <c r="K35" s="17">
        <v>0</v>
      </c>
      <c r="L35" s="17">
        <v>0</v>
      </c>
      <c r="M35" s="19">
        <f>2*(-1*INDEX('Desconto Processos'!$B$5:$H$32,MATCH(180-$A35,'Desconto Processos'!$A$5:$A$32,0),MATCH(M$9,'Desconto Processos'!$B$3:$H$3,0))+INDEX('Acrescimo Tangente'!$B$4:$W$31,MATCH($A35,$A$10:$A$37,0),MATCH(M$9,$C$9:$X$9,0)))</f>
        <v>12.432341936182356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9">
        <f>2*(-1*INDEX('Desconto Processos'!$B$5:$H$32,MATCH(180-$A35,'Desconto Processos'!$A$5:$A$32,0),MATCH(T$9,'Desconto Processos'!$B$3:$H$3,0))+INDEX('Acrescimo Tangente'!$B$4:$W$31,MATCH($A35,$A$10:$A$37,0),MATCH(T$9,$C$9:$X$9,0)))</f>
        <v>17.026287742873453</v>
      </c>
      <c r="U35" s="17">
        <v>0</v>
      </c>
      <c r="V35" s="17">
        <v>0</v>
      </c>
      <c r="W35" s="19">
        <f>2*(-1*INDEX('Desconto Processos'!$B$5:$H$32,MATCH(180-$A35,'Desconto Processos'!$A$5:$A$32,0),MATCH(W$9,'Desconto Processos'!$B$3:$H$3,0))+INDEX('Acrescimo Tangente'!$B$4:$W$31,MATCH($A35,$A$10:$A$37,0),MATCH(W$9,$C$9:$X$9,0)))</f>
        <v>19.922251614000846</v>
      </c>
      <c r="X35" s="19">
        <f>2*(-1*INDEX('Desconto Processos'!$B$5:$H$32,MATCH(180-$A35,'Desconto Processos'!$A$5:$A$32,0),MATCH(X$9,'Desconto Processos'!$B$3:$H$3,0))+INDEX('Acrescimo Tangente'!$B$4:$W$31,MATCH($A35,$A$10:$A$37,0),MATCH(X$9,$C$9:$X$9,0)))</f>
        <v>23.41720645291009</v>
      </c>
      <c r="Y35" s="17"/>
    </row>
    <row r="36" spans="1:37" s="6" customFormat="1" ht="15.75" x14ac:dyDescent="0.25">
      <c r="A36" s="11">
        <v>145</v>
      </c>
      <c r="B36" s="19">
        <v>1</v>
      </c>
      <c r="C36" s="17">
        <v>0</v>
      </c>
      <c r="D36" s="19">
        <f>2*(-1*INDEX('Desconto Processos'!$B$5:$H$32,MATCH(180-$A36,'Desconto Processos'!$A$5:$A$32,0),MATCH(D$9,'Desconto Processos'!$B$3:$H$3,0))+INDEX('Acrescimo Tangente'!$B$4:$W$31,MATCH($A36,$A$10:$A$37,0),MATCH(D$9,$C$9:$X$9,0)))</f>
        <v>9.7206981699254928</v>
      </c>
      <c r="E36" s="17">
        <v>0</v>
      </c>
      <c r="F36" s="17">
        <v>0</v>
      </c>
      <c r="G36" s="19">
        <f>2*(-1*INDEX('Desconto Processos'!$B$5:$H$32,MATCH(180-$A36,'Desconto Processos'!$A$5:$A$32,0),MATCH(G$9,'Desconto Processos'!$B$3:$H$3,0))+INDEX('Acrescimo Tangente'!$B$4:$W$31,MATCH($A36,$A$10:$A$37,0),MATCH(G$9,$C$9:$X$9,0)))</f>
        <v>10.723655051343421</v>
      </c>
      <c r="H36" s="17">
        <v>0</v>
      </c>
      <c r="I36" s="17">
        <v>0</v>
      </c>
      <c r="J36" s="19">
        <f>2*(-1*INDEX('Desconto Processos'!$B$5:$H$32,MATCH(180-$A36,'Desconto Processos'!$A$5:$A$32,0),MATCH(J$9,'Desconto Processos'!$B$3:$H$3,0))+INDEX('Acrescimo Tangente'!$B$4:$W$31,MATCH($A36,$A$10:$A$37,0),MATCH(J$9,$C$9:$X$9,0)))</f>
        <v>12.795249853706633</v>
      </c>
      <c r="K36" s="17">
        <v>0</v>
      </c>
      <c r="L36" s="17">
        <v>0</v>
      </c>
      <c r="M36" s="19">
        <f>2*(-1*INDEX('Desconto Processos'!$B$5:$H$32,MATCH(180-$A36,'Desconto Processos'!$A$5:$A$32,0),MATCH(M$9,'Desconto Processos'!$B$3:$H$3,0))+INDEX('Acrescimo Tangente'!$B$4:$W$31,MATCH($A36,$A$10:$A$37,0),MATCH(M$9,$C$9:$X$9,0)))</f>
        <v>15.401163616542489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9">
        <f>2*(-1*INDEX('Desconto Processos'!$B$5:$H$32,MATCH(180-$A36,'Desconto Processos'!$A$5:$A$32,0),MATCH(T$9,'Desconto Processos'!$B$3:$H$3,0))+INDEX('Acrescimo Tangente'!$B$4:$W$31,MATCH($A36,$A$10:$A$37,0),MATCH(T$9,$C$9:$X$9,0)))</f>
        <v>20.812991142214198</v>
      </c>
      <c r="U36" s="17">
        <v>0</v>
      </c>
      <c r="V36" s="17">
        <v>0</v>
      </c>
      <c r="W36" s="19">
        <f>2*(-1*INDEX('Desconto Processos'!$B$5:$H$32,MATCH(180-$A36,'Desconto Processos'!$A$5:$A$32,0),MATCH(W$9,'Desconto Processos'!$B$3:$H$3,0))+INDEX('Acrescimo Tangente'!$B$4:$W$31,MATCH($A36,$A$10:$A$37,0),MATCH(W$9,$C$9:$X$9,0)))</f>
        <v>24.587542825995339</v>
      </c>
      <c r="X36" s="19">
        <f>2*(-1*INDEX('Desconto Processos'!$B$5:$H$32,MATCH(180-$A36,'Desconto Processos'!$A$5:$A$32,0),MATCH(X$9,'Desconto Processos'!$B$3:$H$3,0))+INDEX('Acrescimo Tangente'!$B$4:$W$31,MATCH($A36,$A$10:$A$37,0),MATCH(X$9,$C$9:$X$9,0)))</f>
        <v>28.830732430721767</v>
      </c>
      <c r="Y36" s="17"/>
    </row>
    <row r="37" spans="1:37" s="6" customFormat="1" ht="15.75" x14ac:dyDescent="0.25">
      <c r="A37" s="11">
        <v>150</v>
      </c>
      <c r="B37" s="19">
        <v>1</v>
      </c>
      <c r="C37" s="17">
        <v>0</v>
      </c>
      <c r="D37" s="19">
        <f>2*(-1*INDEX('Desconto Processos'!$B$5:$H$32,MATCH(180-$A37,'Desconto Processos'!$A$5:$A$32,0),MATCH(D$9,'Desconto Processos'!$B$3:$H$3,0))+INDEX('Acrescimo Tangente'!$B$4:$W$31,MATCH($A37,$A$10:$A$37,0),MATCH(D$9,$C$9:$X$9,0)))</f>
        <v>11.974613391789285</v>
      </c>
      <c r="E37" s="17">
        <v>0</v>
      </c>
      <c r="F37" s="17">
        <v>0</v>
      </c>
      <c r="G37" s="19">
        <f>2*(-1*INDEX('Desconto Processos'!$B$5:$H$32,MATCH(180-$A37,'Desconto Processos'!$A$5:$A$32,0),MATCH(G$9,'Desconto Processos'!$B$3:$H$3,0))+INDEX('Acrescimo Tangente'!$B$4:$W$31,MATCH($A37,$A$10:$A$37,0),MATCH(G$9,$C$9:$X$9,0)))</f>
        <v>13.31384387633061</v>
      </c>
      <c r="H37" s="17">
        <v>0</v>
      </c>
      <c r="I37" s="17">
        <v>0</v>
      </c>
      <c r="J37" s="19">
        <f>2*(-1*INDEX('Desconto Processos'!$B$5:$H$32,MATCH(180-$A37,'Desconto Processos'!$A$5:$A$32,0),MATCH(J$9,'Desconto Processos'!$B$3:$H$3,0))+INDEX('Acrescimo Tangente'!$B$4:$W$31,MATCH($A37,$A$10:$A$37,0),MATCH(J$9,$C$9:$X$9,0)))</f>
        <v>16.045894683899487</v>
      </c>
      <c r="K37" s="17">
        <v>0</v>
      </c>
      <c r="L37" s="17">
        <v>0</v>
      </c>
      <c r="M37" s="19">
        <f>2*(-1*INDEX('Desconto Processos'!$B$5:$H$32,MATCH(180-$A37,'Desconto Processos'!$A$5:$A$32,0),MATCH(M$9,'Desconto Processos'!$B$3:$H$3,0))+INDEX('Acrescimo Tangente'!$B$4:$W$31,MATCH($A37,$A$10:$A$37,0),MATCH(M$9,$C$9:$X$9,0)))</f>
        <v>19.324355652982142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9">
        <f>2*(-1*INDEX('Desconto Processos'!$B$5:$H$32,MATCH(180-$A37,'Desconto Processos'!$A$5:$A$32,0),MATCH(T$9,'Desconto Processos'!$B$3:$H$3,0))+INDEX('Acrescimo Tangente'!$B$4:$W$31,MATCH($A37,$A$10:$A$37,0),MATCH(T$9,$C$9:$X$9,0)))</f>
        <v>25.881277591147448</v>
      </c>
      <c r="U37" s="17">
        <v>0</v>
      </c>
      <c r="V37" s="17">
        <v>0</v>
      </c>
      <c r="W37" s="19">
        <f>2*(-1*INDEX('Desconto Processos'!$B$5:$H$32,MATCH(180-$A37,'Desconto Processos'!$A$5:$A$32,0),MATCH(W$9,'Desconto Processos'!$B$3:$H$3,0))+INDEX('Acrescimo Tangente'!$B$4:$W$31,MATCH($A37,$A$10:$A$37,0),MATCH(W$9,$C$9:$X$9,0)))</f>
        <v>30.752558883257649</v>
      </c>
      <c r="X37" s="19">
        <f>2*(-1*INDEX('Desconto Processos'!$B$5:$H$32,MATCH(180-$A37,'Desconto Processos'!$A$5:$A$32,0),MATCH(X$9,'Desconto Processos'!$B$3:$H$3,0))+INDEX('Acrescimo Tangente'!$B$4:$W$31,MATCH($A37,$A$10:$A$37,0),MATCH(X$9,$C$9:$X$9,0)))</f>
        <v>36.116660498395404</v>
      </c>
      <c r="Y37" s="17"/>
    </row>
    <row r="38" spans="1:37" s="6" customFormat="1" ht="16.5" thickBot="1" x14ac:dyDescent="0.3">
      <c r="A38" s="11" t="s">
        <v>9</v>
      </c>
      <c r="B38" s="6" t="s">
        <v>9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7"/>
    </row>
    <row r="39" spans="1:37" s="5" customFormat="1" ht="16.5" thickBot="1" x14ac:dyDescent="0.3">
      <c r="A39" s="8" t="s">
        <v>5</v>
      </c>
      <c r="B39" s="16">
        <v>1.2</v>
      </c>
      <c r="C39" s="22"/>
      <c r="X39" s="27"/>
    </row>
    <row r="40" spans="1:37" s="6" customFormat="1" ht="16.5" thickBot="1" x14ac:dyDescent="0.25">
      <c r="A40" s="114" t="s">
        <v>6</v>
      </c>
      <c r="B40" s="116" t="s">
        <v>7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8"/>
    </row>
    <row r="41" spans="1:37" s="10" customFormat="1" ht="16.5" thickBot="1" x14ac:dyDescent="0.3">
      <c r="A41" s="115"/>
      <c r="B41" s="15">
        <v>0.5</v>
      </c>
      <c r="C41" s="23">
        <v>1</v>
      </c>
      <c r="D41" s="15">
        <v>1.1000000000000001</v>
      </c>
      <c r="E41" s="15">
        <v>1.2</v>
      </c>
      <c r="F41" s="23">
        <v>1.3</v>
      </c>
      <c r="G41" s="15">
        <v>1.4</v>
      </c>
      <c r="H41" s="18">
        <v>1.6</v>
      </c>
      <c r="I41" s="15">
        <v>1.7</v>
      </c>
      <c r="J41" s="15">
        <v>1.9</v>
      </c>
      <c r="K41" s="23">
        <v>2</v>
      </c>
      <c r="L41" s="15">
        <v>2.2999999999999998</v>
      </c>
      <c r="M41" s="15">
        <v>2.5</v>
      </c>
      <c r="N41" s="23">
        <v>2.6</v>
      </c>
      <c r="O41" s="15">
        <v>2.7</v>
      </c>
      <c r="P41" s="15">
        <v>3</v>
      </c>
      <c r="Q41" s="15">
        <v>3.2</v>
      </c>
      <c r="R41" s="15">
        <v>3.3</v>
      </c>
      <c r="S41" s="15">
        <v>3.4</v>
      </c>
      <c r="T41" s="15">
        <v>3.7</v>
      </c>
      <c r="U41" s="15">
        <v>3.9</v>
      </c>
      <c r="V41" s="15">
        <v>4.3</v>
      </c>
      <c r="W41" s="15">
        <v>4.5</v>
      </c>
      <c r="X41" s="15">
        <v>5.5</v>
      </c>
      <c r="Y41" s="15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1:37" s="6" customFormat="1" ht="15.75" x14ac:dyDescent="0.25">
      <c r="A42" s="11">
        <v>15</v>
      </c>
      <c r="B42" s="17">
        <v>0</v>
      </c>
      <c r="C42" s="19">
        <f>2*(-1*INDEX('Desconto Processos'!$I$5:$M$32,MATCH(180-$A42,'Desconto Processos'!$A$5:$A$32,0),MATCH(C$41,'Desconto Processos'!$I$3:$M$3,0))+INDEX('Acrescimo Tangente'!$B$36:$W$63,MATCH($A42,$A$10:$A$37,0),MATCH(C$9,$C$9:$X$9,0)))</f>
        <v>0.2</v>
      </c>
      <c r="D42" s="17">
        <v>0</v>
      </c>
      <c r="E42" s="17">
        <v>0</v>
      </c>
      <c r="F42" s="19">
        <f>2*(-1*INDEX('Desconto Processos'!$I$5:$M$32,MATCH(180-$A42,'Desconto Processos'!$A$5:$A$32,0),MATCH(F$41,'Desconto Processos'!$I$3:$M$3,0))+INDEX('Acrescimo Tangente'!$B$36:$W$63,MATCH($A42,$A$42:$A$69,0),MATCH(F$41,$C$9:$X$9,0)))</f>
        <v>0.2</v>
      </c>
      <c r="G42" s="17">
        <v>0</v>
      </c>
      <c r="H42" s="24">
        <f>2*(-1*INDEX('Desconto Processos'!$I$5:$M$32,MATCH(180-$A42,'Desconto Processos'!$A$5:$A$32,0),MATCH(H$41,'Desconto Processos'!$I$3:$M$3,0))+INDEX('Acrescimo Tangente'!$B$36:$W$63,MATCH($A42,$A$42:$A$69,0),MATCH(H$41,$C$9:$X$9,0)))</f>
        <v>0.2</v>
      </c>
      <c r="I42" s="17">
        <v>0</v>
      </c>
      <c r="J42" s="17">
        <v>0</v>
      </c>
      <c r="K42" s="24">
        <f>2*(-1*INDEX('Desconto Processos'!$I$5:$M$32,MATCH(180-$A42,'Desconto Processos'!$A$5:$A$32,0),MATCH(K$41,'Desconto Processos'!$I$3:$M$3,0))+INDEX('Acrescimo Tangente'!$B$36:$W$63,MATCH($A42,$A$42:$A$69,0),MATCH(K$41,$C$9:$X$9,0)))</f>
        <v>0.2</v>
      </c>
      <c r="L42" s="17">
        <v>0</v>
      </c>
      <c r="M42" s="17">
        <v>0</v>
      </c>
      <c r="N42" s="24">
        <f>2*(-1*INDEX('Desconto Processos'!$I$5:$M$32,MATCH(180-$A42,'Desconto Processos'!$A$5:$A$32,0),MATCH(N$41,'Desconto Processos'!$I$3:$M$3,0))+INDEX('Acrescimo Tangente'!$B$36:$W$63,MATCH($A42,$A$42:$A$69,0),MATCH(N$41,$C$9:$X$9,0)))</f>
        <v>0.2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/>
    </row>
    <row r="43" spans="1:37" s="6" customFormat="1" ht="15.75" x14ac:dyDescent="0.25">
      <c r="A43" s="11">
        <v>20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/>
    </row>
    <row r="44" spans="1:37" s="6" customFormat="1" ht="15.75" x14ac:dyDescent="0.25">
      <c r="A44" s="11">
        <v>25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/>
    </row>
    <row r="45" spans="1:37" s="6" customFormat="1" ht="15.75" x14ac:dyDescent="0.25">
      <c r="A45" s="11">
        <v>30</v>
      </c>
      <c r="B45" s="17">
        <v>0</v>
      </c>
      <c r="C45" s="24">
        <f>2*(-1*INDEX('Desconto Processos'!$I$5:$M$32,MATCH(180-$A45,'Desconto Processos'!$A$5:$A$32,0),MATCH(C$41,'Desconto Processos'!$I$3:$M$3,0))+INDEX('Acrescimo Tangente'!$B$36:$W$63,MATCH($A45,$A$10:$A$37,0),MATCH(C$9,$C$9:$X$9,0)))</f>
        <v>0.5</v>
      </c>
      <c r="D45" s="17">
        <v>0</v>
      </c>
      <c r="E45" s="17">
        <v>0</v>
      </c>
      <c r="F45" s="19">
        <f>2*(-1*INDEX('Desconto Processos'!$I$5:$M$32,MATCH(180-$A45,'Desconto Processos'!$A$5:$A$32,0),MATCH(F$41,'Desconto Processos'!$I$3:$M$3,0))+INDEX('Acrescimo Tangente'!$B$36:$W$63,MATCH($A45,$A$42:$A$69,0),MATCH(F$41,$C$9:$X$9,0)))</f>
        <v>0.5</v>
      </c>
      <c r="G45" s="17">
        <v>0</v>
      </c>
      <c r="H45" s="24">
        <f>2*(-1*INDEX('Desconto Processos'!$I$5:$M$32,MATCH(180-$A45,'Desconto Processos'!$A$5:$A$32,0),MATCH(H$41,'Desconto Processos'!$I$3:$M$3,0))+INDEX('Acrescimo Tangente'!$B$36:$W$63,MATCH($A45,$A$42:$A$69,0),MATCH(H$41,$C$9:$X$9,0)))</f>
        <v>0.4</v>
      </c>
      <c r="I45" s="17">
        <v>0</v>
      </c>
      <c r="J45" s="17">
        <v>0</v>
      </c>
      <c r="K45" s="24">
        <f>2*(-1*INDEX('Desconto Processos'!$I$5:$M$32,MATCH(180-$A45,'Desconto Processos'!$A$5:$A$32,0),MATCH(K$41,'Desconto Processos'!$I$3:$M$3,0))+INDEX('Acrescimo Tangente'!$B$36:$W$63,MATCH($A45,$A$42:$A$69,0),MATCH(K$41,$C$9:$X$9,0)))</f>
        <v>0.4</v>
      </c>
      <c r="L45" s="17">
        <v>0</v>
      </c>
      <c r="M45" s="17">
        <v>0</v>
      </c>
      <c r="N45" s="24">
        <f>2*(-1*INDEX('Desconto Processos'!$I$5:$M$32,MATCH(180-$A45,'Desconto Processos'!$A$5:$A$32,0),MATCH(N$41,'Desconto Processos'!$I$3:$M$3,0))+INDEX('Acrescimo Tangente'!$B$36:$W$63,MATCH($A45,$A$42:$A$69,0),MATCH(N$41,$C$9:$X$9,0)))</f>
        <v>0.4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/>
    </row>
    <row r="46" spans="1:37" s="6" customFormat="1" ht="15.75" x14ac:dyDescent="0.25">
      <c r="A46" s="11">
        <v>35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/>
    </row>
    <row r="47" spans="1:37" s="6" customFormat="1" ht="15.75" x14ac:dyDescent="0.25">
      <c r="A47" s="11">
        <v>40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/>
    </row>
    <row r="48" spans="1:37" s="6" customFormat="1" ht="15.75" x14ac:dyDescent="0.25">
      <c r="A48" s="11">
        <v>45</v>
      </c>
      <c r="B48" s="17">
        <v>0</v>
      </c>
      <c r="C48" s="24">
        <f>2*(-1*INDEX('Desconto Processos'!$I$5:$M$32,MATCH(180-$A48,'Desconto Processos'!$A$5:$A$32,0),MATCH(C$41,'Desconto Processos'!$I$3:$M$3,0))+INDEX('Acrescimo Tangente'!$B$36:$W$63,MATCH($A48,$A$10:$A$37,0),MATCH(C$9,$C$9:$X$9,0)))</f>
        <v>0.8</v>
      </c>
      <c r="D48" s="17">
        <v>0</v>
      </c>
      <c r="E48" s="17">
        <v>0</v>
      </c>
      <c r="F48" s="19">
        <f>2*(-1*INDEX('Desconto Processos'!$I$5:$M$32,MATCH(180-$A48,'Desconto Processos'!$A$5:$A$32,0),MATCH(F$41,'Desconto Processos'!$I$3:$M$3,0))+INDEX('Acrescimo Tangente'!$B$36:$W$63,MATCH($A48,$A$42:$A$69,0),MATCH(F$41,$C$9:$X$9,0)))</f>
        <v>0.7</v>
      </c>
      <c r="G48" s="17">
        <v>0</v>
      </c>
      <c r="H48" s="24">
        <f>2*(-1*INDEX('Desconto Processos'!$I$5:$M$32,MATCH(180-$A48,'Desconto Processos'!$A$5:$A$32,0),MATCH(H$41,'Desconto Processos'!$I$3:$M$3,0))+INDEX('Acrescimo Tangente'!$B$36:$W$63,MATCH($A48,$A$42:$A$69,0),MATCH(H$41,$C$9:$X$9,0)))</f>
        <v>0.7</v>
      </c>
      <c r="I48" s="17">
        <v>0</v>
      </c>
      <c r="J48" s="17">
        <v>0</v>
      </c>
      <c r="K48" s="24">
        <f>2*(-1*INDEX('Desconto Processos'!$I$5:$M$32,MATCH(180-$A48,'Desconto Processos'!$A$5:$A$32,0),MATCH(K$41,'Desconto Processos'!$I$3:$M$3,0))+INDEX('Acrescimo Tangente'!$B$36:$W$63,MATCH($A48,$A$42:$A$69,0),MATCH(K$41,$C$9:$X$9,0)))</f>
        <v>0.7</v>
      </c>
      <c r="L48" s="17">
        <v>0</v>
      </c>
      <c r="M48" s="17">
        <v>0</v>
      </c>
      <c r="N48" s="24">
        <f>2*(-1*INDEX('Desconto Processos'!$I$5:$M$32,MATCH(180-$A48,'Desconto Processos'!$A$5:$A$32,0),MATCH(N$41,'Desconto Processos'!$I$3:$M$3,0))+INDEX('Acrescimo Tangente'!$B$36:$W$63,MATCH($A48,$A$42:$A$69,0),MATCH(N$41,$C$9:$X$9,0)))</f>
        <v>0.7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/>
    </row>
    <row r="49" spans="1:25" s="6" customFormat="1" ht="15.75" x14ac:dyDescent="0.25">
      <c r="A49" s="11">
        <v>50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/>
    </row>
    <row r="50" spans="1:25" s="6" customFormat="1" ht="15.75" x14ac:dyDescent="0.25">
      <c r="A50" s="11">
        <v>55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/>
    </row>
    <row r="51" spans="1:25" s="6" customFormat="1" ht="15.75" x14ac:dyDescent="0.25">
      <c r="A51" s="11">
        <v>60</v>
      </c>
      <c r="B51" s="17">
        <v>0</v>
      </c>
      <c r="C51" s="24">
        <f>2*(-1*INDEX('Desconto Processos'!$I$5:$M$32,MATCH(180-$A51,'Desconto Processos'!$A$5:$A$32,0),MATCH(C$41,'Desconto Processos'!$I$3:$M$3,0))+INDEX('Acrescimo Tangente'!$B$36:$W$63,MATCH($A51,$A$10:$A$37,0),MATCH(C$9,$C$9:$X$9,0)))</f>
        <v>1.1000000000000001</v>
      </c>
      <c r="D51" s="17">
        <v>0</v>
      </c>
      <c r="E51" s="17">
        <v>0</v>
      </c>
      <c r="F51" s="19">
        <f>2*(-1*INDEX('Desconto Processos'!$I$5:$M$32,MATCH(180-$A51,'Desconto Processos'!$A$5:$A$32,0),MATCH(F$41,'Desconto Processos'!$I$3:$M$3,0))+INDEX('Acrescimo Tangente'!$B$36:$W$63,MATCH($A51,$A$42:$A$69,0),MATCH(F$41,$C$9:$X$9,0)))</f>
        <v>1.1000000000000001</v>
      </c>
      <c r="G51" s="17">
        <v>0</v>
      </c>
      <c r="H51" s="24">
        <f>2*(-1*INDEX('Desconto Processos'!$I$5:$M$32,MATCH(180-$A51,'Desconto Processos'!$A$5:$A$32,0),MATCH(H$41,'Desconto Processos'!$I$3:$M$3,0))+INDEX('Acrescimo Tangente'!$B$36:$W$63,MATCH($A51,$A$42:$A$69,0),MATCH(H$41,$C$9:$X$9,0)))</f>
        <v>1.1000000000000001</v>
      </c>
      <c r="I51" s="17">
        <v>0</v>
      </c>
      <c r="J51" s="17">
        <v>0</v>
      </c>
      <c r="K51" s="24">
        <f>2*(-1*INDEX('Desconto Processos'!$I$5:$M$32,MATCH(180-$A51,'Desconto Processos'!$A$5:$A$32,0),MATCH(K$41,'Desconto Processos'!$I$3:$M$3,0))+INDEX('Acrescimo Tangente'!$B$36:$W$63,MATCH($A51,$A$42:$A$69,0),MATCH(K$41,$C$9:$X$9,0)))</f>
        <v>1.1000000000000001</v>
      </c>
      <c r="L51" s="17">
        <v>0</v>
      </c>
      <c r="M51" s="17">
        <v>0</v>
      </c>
      <c r="N51" s="24">
        <f>2*(-1*INDEX('Desconto Processos'!$I$5:$M$32,MATCH(180-$A51,'Desconto Processos'!$A$5:$A$32,0),MATCH(N$41,'Desconto Processos'!$I$3:$M$3,0))+INDEX('Acrescimo Tangente'!$B$36:$W$63,MATCH($A51,$A$42:$A$69,0),MATCH(N$41,$C$9:$X$9,0)))</f>
        <v>1.2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/>
    </row>
    <row r="52" spans="1:25" s="6" customFormat="1" ht="15.75" x14ac:dyDescent="0.25">
      <c r="A52" s="11">
        <v>65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/>
    </row>
    <row r="53" spans="1:25" s="6" customFormat="1" ht="15.75" x14ac:dyDescent="0.25">
      <c r="A53" s="11">
        <v>70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/>
    </row>
    <row r="54" spans="1:25" s="6" customFormat="1" ht="15.75" x14ac:dyDescent="0.25">
      <c r="A54" s="11">
        <v>75</v>
      </c>
      <c r="B54" s="17">
        <v>0</v>
      </c>
      <c r="C54" s="24">
        <f>2*(-1*INDEX('Desconto Processos'!$I$5:$M$32,MATCH(180-$A54,'Desconto Processos'!$A$5:$A$32,0),MATCH(C$41,'Desconto Processos'!$I$3:$M$3,0))+INDEX('Acrescimo Tangente'!$B$36:$W$63,MATCH($A54,$A$10:$A$37,0),MATCH(C$9,$C$9:$X$9,0)))</f>
        <v>1.6</v>
      </c>
      <c r="D54" s="17">
        <v>0</v>
      </c>
      <c r="E54" s="17">
        <v>0</v>
      </c>
      <c r="F54" s="19">
        <f>2*(-1*INDEX('Desconto Processos'!$I$5:$M$32,MATCH(180-$A54,'Desconto Processos'!$A$5:$A$32,0),MATCH(F$41,'Desconto Processos'!$I$3:$M$3,0))+INDEX('Acrescimo Tangente'!$B$36:$W$63,MATCH($A54,$A$42:$A$69,0),MATCH(F$41,$C$9:$X$9,0)))</f>
        <v>1.6</v>
      </c>
      <c r="G54" s="17">
        <v>0</v>
      </c>
      <c r="H54" s="24">
        <f>2*(-1*INDEX('Desconto Processos'!$I$5:$M$32,MATCH(180-$A54,'Desconto Processos'!$A$5:$A$32,0),MATCH(H$41,'Desconto Processos'!$I$3:$M$3,0))+INDEX('Acrescimo Tangente'!$B$36:$W$63,MATCH($A54,$A$42:$A$69,0),MATCH(H$41,$C$9:$X$9,0)))</f>
        <v>1.6</v>
      </c>
      <c r="I54" s="17">
        <v>0</v>
      </c>
      <c r="J54" s="17">
        <v>0</v>
      </c>
      <c r="K54" s="24">
        <f>2*(-1*INDEX('Desconto Processos'!$I$5:$M$32,MATCH(180-$A54,'Desconto Processos'!$A$5:$A$32,0),MATCH(K$41,'Desconto Processos'!$I$3:$M$3,0))+INDEX('Acrescimo Tangente'!$B$36:$W$63,MATCH($A54,$A$42:$A$69,0),MATCH(K$41,$C$9:$X$9,0)))</f>
        <v>1.7</v>
      </c>
      <c r="L54" s="17">
        <v>0</v>
      </c>
      <c r="M54" s="17">
        <v>0</v>
      </c>
      <c r="N54" s="24">
        <f>2*(-1*INDEX('Desconto Processos'!$I$5:$M$32,MATCH(180-$A54,'Desconto Processos'!$A$5:$A$32,0),MATCH(N$41,'Desconto Processos'!$I$3:$M$3,0))+INDEX('Acrescimo Tangente'!$B$36:$W$63,MATCH($A54,$A$42:$A$69,0),MATCH(N$41,$C$9:$X$9,0)))</f>
        <v>1.8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/>
    </row>
    <row r="55" spans="1:25" s="6" customFormat="1" ht="15.75" x14ac:dyDescent="0.25">
      <c r="A55" s="11">
        <v>80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/>
    </row>
    <row r="56" spans="1:25" s="6" customFormat="1" ht="15.75" x14ac:dyDescent="0.25">
      <c r="A56" s="11">
        <v>85</v>
      </c>
      <c r="B56" s="17">
        <v>0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/>
    </row>
    <row r="57" spans="1:25" s="6" customFormat="1" ht="15.75" x14ac:dyDescent="0.25">
      <c r="A57" s="20">
        <v>90</v>
      </c>
      <c r="B57" s="21">
        <v>0</v>
      </c>
      <c r="C57" s="21">
        <f>2*(-1*INDEX('Desconto Processos'!$I$5:$M$32,MATCH(180-$A57,'Desconto Processos'!$A$5:$A$32,0),MATCH(C$41,'Desconto Processos'!$I$3:$M$3,0))+INDEX('Acrescimo Tangente'!$B$36:$W$63,MATCH($A57,$A$10:$A$37,0),MATCH(C$9,$C$9:$X$9,0)))</f>
        <v>2.2999999999999998</v>
      </c>
      <c r="D57" s="21">
        <v>0</v>
      </c>
      <c r="E57" s="21">
        <v>0</v>
      </c>
      <c r="F57" s="21">
        <f>2*(-1*INDEX('Desconto Processos'!$I$5:$M$32,MATCH(180-$A57,'Desconto Processos'!$A$5:$A$32,0),MATCH(F$41,'Desconto Processos'!$I$3:$M$3,0))+INDEX('Acrescimo Tangente'!$B$36:$W$63,MATCH($A57,$A$42:$A$69,0),MATCH(F$41,$C$9:$X$9,0)))</f>
        <v>2.2999999999999998</v>
      </c>
      <c r="G57" s="21">
        <v>0</v>
      </c>
      <c r="H57" s="21">
        <f>2*(-1*INDEX('Desconto Processos'!$I$5:$M$32,MATCH(180-$A57,'Desconto Processos'!$A$5:$A$32,0),MATCH(H$41,'Desconto Processos'!$I$3:$M$3,0))+INDEX('Acrescimo Tangente'!$B$36:$W$63,MATCH($A57,$A$42:$A$69,0),MATCH(H$41,$C$9:$X$9,0)))</f>
        <v>2.4</v>
      </c>
      <c r="I57" s="21">
        <v>0</v>
      </c>
      <c r="J57" s="21">
        <v>0</v>
      </c>
      <c r="K57" s="21">
        <f>2*(-1*INDEX('Desconto Processos'!$I$5:$M$32,MATCH(180-$A57,'Desconto Processos'!$A$5:$A$32,0),MATCH(K$41,'Desconto Processos'!$I$3:$M$3,0))+INDEX('Acrescimo Tangente'!$B$36:$W$63,MATCH($A57,$A$42:$A$69,0),MATCH(K$41,$C$9:$X$9,0)))</f>
        <v>2.5</v>
      </c>
      <c r="L57" s="21">
        <v>0</v>
      </c>
      <c r="M57" s="21">
        <v>0</v>
      </c>
      <c r="N57" s="21">
        <f>2*(-1*INDEX('Desconto Processos'!$I$5:$M$32,MATCH(180-$A57,'Desconto Processos'!$A$5:$A$32,0),MATCH(N$41,'Desconto Processos'!$I$3:$M$3,0))+INDEX('Acrescimo Tangente'!$B$36:$W$63,MATCH($A57,$A$42:$A$69,0),MATCH(N$41,$C$9:$X$9,0)))</f>
        <v>2.7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17"/>
    </row>
    <row r="58" spans="1:25" s="6" customFormat="1" ht="15.75" x14ac:dyDescent="0.25">
      <c r="A58" s="11">
        <v>95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/>
    </row>
    <row r="59" spans="1:25" s="6" customFormat="1" ht="15.75" x14ac:dyDescent="0.25">
      <c r="A59" s="11">
        <v>100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/>
    </row>
    <row r="60" spans="1:25" s="6" customFormat="1" ht="15.75" x14ac:dyDescent="0.25">
      <c r="A60" s="11">
        <v>105</v>
      </c>
      <c r="B60" s="17">
        <v>0</v>
      </c>
      <c r="C60" s="24">
        <f>2*(-1*INDEX('Desconto Processos'!$I$5:$M$32,MATCH(180-$A60,'Desconto Processos'!$A$5:$A$32,0),MATCH(C$41,'Desconto Processos'!$I$3:$M$3,0))+INDEX('Acrescimo Tangente'!$B$36:$W$63,MATCH($A60,$A$10:$A$37,0),MATCH(C$9,$C$9:$X$9,0)))</f>
        <v>3.2341916405013049</v>
      </c>
      <c r="D60" s="17">
        <v>0</v>
      </c>
      <c r="E60" s="17">
        <v>0</v>
      </c>
      <c r="F60" s="19">
        <f>2*(-1*INDEX('Desconto Processos'!$I$5:$M$32,MATCH(180-$A60,'Desconto Processos'!$A$5:$A$32,0),MATCH(F$41,'Desconto Processos'!$I$3:$M$3,0))+INDEX('Acrescimo Tangente'!$B$36:$W$63,MATCH($A60,$A$42:$A$69,0),MATCH(F$41,$C$9:$X$9,0)))</f>
        <v>3.4161268642060287</v>
      </c>
      <c r="G60" s="17">
        <v>0</v>
      </c>
      <c r="H60" s="24">
        <f>2*(-1*INDEX('Desconto Processos'!$I$5:$M$32,MATCH(180-$A60,'Desconto Processos'!$A$5:$A$32,0),MATCH(H$41,'Desconto Processos'!$I$3:$M$3,0))+INDEX('Acrescimo Tangente'!$B$36:$W$63,MATCH($A60,$A$42:$A$69,0),MATCH(H$41,$C$9:$X$9,0)))</f>
        <v>3.5980620879107521</v>
      </c>
      <c r="I60" s="17">
        <v>0</v>
      </c>
      <c r="J60" s="17">
        <v>0</v>
      </c>
      <c r="K60" s="24">
        <f>2*(-1*INDEX('Desconto Processos'!$I$5:$M$32,MATCH(180-$A60,'Desconto Processos'!$A$5:$A$32,0),MATCH(K$41,'Desconto Processos'!$I$3:$M$3,0))+INDEX('Acrescimo Tangente'!$B$36:$W$63,MATCH($A60,$A$42:$A$69,0),MATCH(K$41,$C$9:$X$9,0)))</f>
        <v>3.8406423861837165</v>
      </c>
      <c r="L60" s="17">
        <v>0</v>
      </c>
      <c r="M60" s="17">
        <v>0</v>
      </c>
      <c r="N60" s="24">
        <f>2*(-1*INDEX('Desconto Processos'!$I$5:$M$32,MATCH(180-$A60,'Desconto Processos'!$A$5:$A$32,0),MATCH(N$41,'Desconto Processos'!$I$3:$M$3,0))+INDEX('Acrescimo Tangente'!$B$36:$W$63,MATCH($A60,$A$42:$A$69,0),MATCH(N$41,$C$9:$X$9,0)))</f>
        <v>4.2045128335931636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/>
    </row>
    <row r="61" spans="1:25" s="6" customFormat="1" ht="15.75" x14ac:dyDescent="0.25">
      <c r="A61" s="11">
        <v>110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/>
    </row>
    <row r="62" spans="1:25" s="6" customFormat="1" ht="15.75" x14ac:dyDescent="0.25">
      <c r="A62" s="11">
        <v>115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/>
    </row>
    <row r="63" spans="1:25" s="6" customFormat="1" ht="15.75" x14ac:dyDescent="0.25">
      <c r="A63" s="11">
        <v>120</v>
      </c>
      <c r="B63" s="17">
        <v>0</v>
      </c>
      <c r="C63" s="24">
        <f>2*(-1*INDEX('Desconto Processos'!$I$5:$M$32,MATCH(180-$A63,'Desconto Processos'!$A$5:$A$32,0),MATCH(C$41,'Desconto Processos'!$I$3:$M$3,0))+INDEX('Acrescimo Tangente'!$B$36:$W$63,MATCH($A63,$A$10:$A$37,0),MATCH(C$9,$C$9:$X$9,0)))</f>
        <v>4.7210235533030609</v>
      </c>
      <c r="D63" s="17">
        <v>0</v>
      </c>
      <c r="E63" s="17">
        <v>0</v>
      </c>
      <c r="F63" s="19">
        <f>2*(-1*INDEX('Desconto Processos'!$I$5:$M$32,MATCH(180-$A63,'Desconto Processos'!$A$5:$A$32,0),MATCH(F$41,'Desconto Processos'!$I$3:$M$3,0))+INDEX('Acrescimo Tangente'!$B$36:$W$63,MATCH($A63,$A$42:$A$69,0),MATCH(F$41,$C$9:$X$9,0)))</f>
        <v>5.0602540378443868</v>
      </c>
      <c r="G63" s="17">
        <v>0</v>
      </c>
      <c r="H63" s="24">
        <f>2*(-1*INDEX('Desconto Processos'!$I$5:$M$32,MATCH(180-$A63,'Desconto Processos'!$A$5:$A$32,0),MATCH(H$41,'Desconto Processos'!$I$3:$M$3,0))+INDEX('Acrescimo Tangente'!$B$36:$W$63,MATCH($A63,$A$42:$A$69,0),MATCH(H$41,$C$9:$X$9,0)))</f>
        <v>5.4994845223857123</v>
      </c>
      <c r="I63" s="17">
        <v>0</v>
      </c>
      <c r="J63" s="17">
        <v>0</v>
      </c>
      <c r="K63" s="24">
        <f>2*(-1*INDEX('Desconto Processos'!$I$5:$M$32,MATCH(180-$A63,'Desconto Processos'!$A$5:$A$32,0),MATCH(K$41,'Desconto Processos'!$I$3:$M$3,0))+INDEX('Acrescimo Tangente'!$B$36:$W$63,MATCH($A63,$A$42:$A$69,0),MATCH(K$41,$C$9:$X$9,0)))</f>
        <v>5.985125168440816</v>
      </c>
      <c r="L63" s="17">
        <v>0</v>
      </c>
      <c r="M63" s="17">
        <v>0</v>
      </c>
      <c r="N63" s="24">
        <f>2*(-1*INDEX('Desconto Processos'!$I$5:$M$32,MATCH(180-$A63,'Desconto Processos'!$A$5:$A$32,0),MATCH(N$41,'Desconto Processos'!$I$3:$M$3,0))+INDEX('Acrescimo Tangente'!$B$36:$W$63,MATCH($A63,$A$42:$A$69,0),MATCH(N$41,$C$9:$X$9,0)))</f>
        <v>6.6635861375234686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/>
    </row>
    <row r="64" spans="1:25" s="6" customFormat="1" ht="15.75" x14ac:dyDescent="0.25">
      <c r="A64" s="11">
        <v>125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/>
    </row>
    <row r="65" spans="1:37" s="6" customFormat="1" ht="15.75" x14ac:dyDescent="0.25">
      <c r="A65" s="11">
        <v>130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/>
    </row>
    <row r="66" spans="1:37" s="6" customFormat="1" ht="15.75" x14ac:dyDescent="0.25">
      <c r="A66" s="11">
        <v>135</v>
      </c>
      <c r="B66" s="17">
        <v>0</v>
      </c>
      <c r="C66" s="24">
        <f>2*(-1*INDEX('Desconto Processos'!$I$5:$M$32,MATCH(180-$A66,'Desconto Processos'!$A$5:$A$32,0),MATCH(C$41,'Desconto Processos'!$I$3:$M$3,0))+INDEX('Acrescimo Tangente'!$B$36:$W$63,MATCH($A66,$A$10:$A$37,0),MATCH(C$9,$C$9:$X$9,0)))</f>
        <v>7.4225396744416186</v>
      </c>
      <c r="D66" s="17">
        <v>0</v>
      </c>
      <c r="E66" s="17">
        <v>0</v>
      </c>
      <c r="F66" s="19">
        <f>2*(-1*INDEX('Desconto Processos'!$I$5:$M$32,MATCH(180-$A66,'Desconto Processos'!$A$5:$A$32,0),MATCH(F$41,'Desconto Processos'!$I$3:$M$3,0))+INDEX('Acrescimo Tangente'!$B$36:$W$63,MATCH($A66,$A$42:$A$69,0),MATCH(F$41,$C$9:$X$9,0)))</f>
        <v>8.0710678118654755</v>
      </c>
      <c r="G66" s="17">
        <v>0</v>
      </c>
      <c r="H66" s="24">
        <f>2*(-1*INDEX('Desconto Processos'!$I$5:$M$32,MATCH(180-$A66,'Desconto Processos'!$A$5:$A$32,0),MATCH(H$41,'Desconto Processos'!$I$3:$M$3,0))+INDEX('Acrescimo Tangente'!$B$36:$W$63,MATCH($A66,$A$42:$A$69,0),MATCH(H$41,$C$9:$X$9,0)))</f>
        <v>8.7195959492893316</v>
      </c>
      <c r="I66" s="17">
        <v>0</v>
      </c>
      <c r="J66" s="17">
        <v>0</v>
      </c>
      <c r="K66" s="24">
        <f>2*(-1*INDEX('Desconto Processos'!$I$5:$M$32,MATCH(180-$A66,'Desconto Processos'!$A$5:$A$32,0),MATCH(K$41,'Desconto Processos'!$I$3:$M$3,0))+INDEX('Acrescimo Tangente'!$B$36:$W$63,MATCH($A66,$A$42:$A$69,0),MATCH(K$41,$C$9:$X$9,0)))</f>
        <v>9.6509667991878096</v>
      </c>
      <c r="L66" s="17">
        <v>0</v>
      </c>
      <c r="M66" s="17">
        <v>0</v>
      </c>
      <c r="N66" s="24">
        <f>2*(-1*INDEX('Desconto Processos'!$I$5:$M$32,MATCH(180-$A66,'Desconto Processos'!$A$5:$A$32,0),MATCH(N$41,'Desconto Processos'!$I$3:$M$3,0))+INDEX('Acrescimo Tangente'!$B$36:$W$63,MATCH($A66,$A$42:$A$69,0),MATCH(N$41,$C$9:$X$9,0)))</f>
        <v>11.048023074035523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/>
    </row>
    <row r="67" spans="1:37" s="6" customFormat="1" ht="15.75" x14ac:dyDescent="0.25">
      <c r="A67" s="11">
        <v>140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/>
    </row>
    <row r="68" spans="1:37" s="6" customFormat="1" ht="15.75" x14ac:dyDescent="0.25">
      <c r="A68" s="11">
        <v>145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/>
    </row>
    <row r="69" spans="1:37" s="6" customFormat="1" ht="15.75" x14ac:dyDescent="0.25">
      <c r="A69" s="11">
        <v>150</v>
      </c>
      <c r="B69" s="17">
        <v>0</v>
      </c>
      <c r="C69" s="24">
        <f>2*(-1*INDEX('Desconto Processos'!$I$5:$M$32,MATCH(180-$A69,'Desconto Processos'!$A$5:$A$32,0),MATCH(C$41,'Desconto Processos'!$I$3:$M$3,0))+INDEX('Acrescimo Tangente'!$B$36:$W$63,MATCH($A69,$A$10:$A$37,0),MATCH(C$9,$C$9:$X$9,0)))</f>
        <v>12.821023553303062</v>
      </c>
      <c r="D69" s="17">
        <v>0</v>
      </c>
      <c r="E69" s="17">
        <v>0</v>
      </c>
      <c r="F69" s="19">
        <f>2*(-1*INDEX('Desconto Processos'!$I$5:$M$32,MATCH(180-$A69,'Desconto Processos'!$A$5:$A$32,0),MATCH(F$41,'Desconto Processos'!$I$3:$M$3,0))+INDEX('Acrescimo Tangente'!$B$36:$W$63,MATCH($A69,$A$42:$A$69,0),MATCH(F$41,$C$9:$X$9,0)))</f>
        <v>14.260254037844387</v>
      </c>
      <c r="G69" s="17">
        <v>0</v>
      </c>
      <c r="H69" s="24">
        <f>2*(-1*INDEX('Desconto Processos'!$I$5:$M$32,MATCH(180-$A69,'Desconto Processos'!$A$5:$A$32,0),MATCH(H$41,'Desconto Processos'!$I$3:$M$3,0))+INDEX('Acrescimo Tangente'!$B$36:$W$63,MATCH($A69,$A$42:$A$69,0),MATCH(H$41,$C$9:$X$9,0)))</f>
        <v>15.599484522385714</v>
      </c>
      <c r="I69" s="17">
        <v>0</v>
      </c>
      <c r="J69" s="17">
        <v>0</v>
      </c>
      <c r="K69" s="24">
        <f>2*(-1*INDEX('Desconto Processos'!$I$5:$M$32,MATCH(180-$A69,'Desconto Processos'!$A$5:$A$32,0),MATCH(K$41,'Desconto Processos'!$I$3:$M$3,0))+INDEX('Acrescimo Tangente'!$B$36:$W$63,MATCH($A69,$A$42:$A$69,0),MATCH(K$41,$C$9:$X$9,0)))</f>
        <v>17.685125168440816</v>
      </c>
      <c r="L69" s="17">
        <v>0</v>
      </c>
      <c r="M69" s="17">
        <v>0</v>
      </c>
      <c r="N69" s="24">
        <f>2*(-1*INDEX('Desconto Processos'!$I$5:$M$32,MATCH(180-$A69,'Desconto Processos'!$A$5:$A$32,0),MATCH(N$41,'Desconto Processos'!$I$3:$M$3,0))+INDEX('Acrescimo Tangente'!$B$36:$W$63,MATCH($A69,$A$42:$A$69,0),MATCH(N$41,$C$9:$X$9,0)))</f>
        <v>21.263586137523468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/>
    </row>
    <row r="70" spans="1:37" s="6" customFormat="1" ht="16.5" thickBot="1" x14ac:dyDescent="0.3">
      <c r="A70" s="12"/>
      <c r="B70" s="13"/>
      <c r="C70" s="13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7"/>
    </row>
    <row r="71" spans="1:37" s="5" customFormat="1" ht="16.5" thickBot="1" x14ac:dyDescent="0.3">
      <c r="A71" s="8" t="s">
        <v>5</v>
      </c>
      <c r="B71" s="16">
        <v>1.5</v>
      </c>
      <c r="C71" s="22"/>
      <c r="X71" s="27"/>
    </row>
    <row r="72" spans="1:37" s="6" customFormat="1" ht="16.5" thickBot="1" x14ac:dyDescent="0.25">
      <c r="A72" s="114" t="s">
        <v>6</v>
      </c>
      <c r="B72" s="116" t="s">
        <v>7</v>
      </c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8"/>
    </row>
    <row r="73" spans="1:37" s="10" customFormat="1" ht="16.5" thickBot="1" x14ac:dyDescent="0.3">
      <c r="A73" s="115"/>
      <c r="B73" s="18">
        <v>0.5</v>
      </c>
      <c r="C73" s="15">
        <v>1</v>
      </c>
      <c r="D73" s="15">
        <v>1.1000000000000001</v>
      </c>
      <c r="E73" s="15">
        <v>1.2</v>
      </c>
      <c r="F73" s="15">
        <v>1.3</v>
      </c>
      <c r="G73" s="18">
        <v>1.4</v>
      </c>
      <c r="H73" s="18">
        <v>1.6</v>
      </c>
      <c r="I73" s="15">
        <v>1.7</v>
      </c>
      <c r="J73" s="18">
        <v>1.9</v>
      </c>
      <c r="K73" s="15">
        <v>2</v>
      </c>
      <c r="L73" s="15">
        <v>2.2999999999999998</v>
      </c>
      <c r="M73" s="15">
        <v>2.5</v>
      </c>
      <c r="N73" s="15">
        <v>2.6</v>
      </c>
      <c r="O73" s="15">
        <v>2.7</v>
      </c>
      <c r="P73" s="15">
        <v>3</v>
      </c>
      <c r="Q73" s="15">
        <v>3.2</v>
      </c>
      <c r="R73" s="15">
        <v>3.3</v>
      </c>
      <c r="S73" s="15">
        <v>3.4</v>
      </c>
      <c r="T73" s="15">
        <v>3.7</v>
      </c>
      <c r="U73" s="18">
        <v>3.9</v>
      </c>
      <c r="V73" s="18">
        <v>4.3</v>
      </c>
      <c r="W73" s="15">
        <v>4.5</v>
      </c>
      <c r="X73" s="15">
        <v>5.5</v>
      </c>
      <c r="Y73" s="15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1:37" s="6" customFormat="1" ht="15.75" x14ac:dyDescent="0.25">
      <c r="A74" s="11">
        <v>15</v>
      </c>
      <c r="B74" s="19">
        <v>1</v>
      </c>
      <c r="C74" s="17">
        <v>0</v>
      </c>
      <c r="D74" s="17">
        <v>0</v>
      </c>
      <c r="E74" s="17">
        <v>0</v>
      </c>
      <c r="F74" s="17">
        <v>0</v>
      </c>
      <c r="G74" s="19">
        <f>2*(-1*INDEX('Desconto Processos'!$N$5:$S$32,MATCH(180-$A74,'Desconto Processos'!$A$5:$A$32,0),MATCH(G$104,'Desconto Processos'!$N$3:$S$3,0))+INDEX('Acrescimo Tangente'!$B$68:$W$95,MATCH($A74,$A$10:$A$37,0),MATCH(G$104,$C$9:$X$9,0)))</f>
        <v>0.3</v>
      </c>
      <c r="H74" s="19">
        <f>2*(-1*INDEX('Desconto Processos'!$N$5:$S$32,MATCH(180-$A74,'Desconto Processos'!$A$5:$A$32,0),MATCH(H$104,'Desconto Processos'!$N$3:$S$3,0))+INDEX('Acrescimo Tangente'!$B$68:$W$95,MATCH($A74,$A$10:$A$37,0),MATCH(H$104,$C$9:$X$9,0)))</f>
        <v>0.3</v>
      </c>
      <c r="I74" s="17">
        <v>0</v>
      </c>
      <c r="J74" s="19">
        <f>2*(-1*INDEX('Desconto Processos'!$N$5:$S$32,MATCH(180-$A74,'Desconto Processos'!$A$5:$A$32,0),MATCH(J$104,'Desconto Processos'!$N$3:$S$3,0))+INDEX('Acrescimo Tangente'!$B$68:$W$95,MATCH($A74,$A$10:$A$37,0),MATCH(J$104,$C$9:$X$9,0)))</f>
        <v>0.3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9">
        <f>2*(-1*INDEX('Desconto Processos'!$N$5:$S$32,MATCH(180-$A74,'Desconto Processos'!$A$5:$A$32,0),MATCH(P$104,'Desconto Processos'!$N$3:$S$3,0))+INDEX('Acrescimo Tangente'!$B$68:$W$95,MATCH($A74,$A$10:$A$37,0),MATCH(P$104,$C$9:$X$9,0)))</f>
        <v>0.3</v>
      </c>
      <c r="Q74" s="17">
        <v>0</v>
      </c>
      <c r="R74" s="17">
        <v>0</v>
      </c>
      <c r="S74" s="17">
        <v>0</v>
      </c>
      <c r="T74" s="17">
        <v>0</v>
      </c>
      <c r="U74" s="19">
        <f>2*(-1*INDEX('Desconto Processos'!$N$5:$S$32,MATCH(180-$A74,'Desconto Processos'!$A$5:$A$32,0),MATCH(U$104,'Desconto Processos'!$N$3:$S$3,0))+INDEX('Acrescimo Tangente'!$B$68:$W$95,MATCH($A74,$A$10:$A$37,0),MATCH(U$104,$C$9:$X$9,0)))</f>
        <v>0.3</v>
      </c>
      <c r="V74" s="19">
        <f>2*(-1*INDEX('Desconto Processos'!$N$5:$S$32,MATCH(180-$A74,'Desconto Processos'!$A$5:$A$32,0),MATCH(V$104,'Desconto Processos'!$N$3:$S$3,0))+INDEX('Acrescimo Tangente'!$B$68:$W$95,MATCH($A74,$A$10:$A$37,0),MATCH(V$104,$C$9:$X$9,0)))</f>
        <v>0.3</v>
      </c>
      <c r="W74" s="17">
        <v>0</v>
      </c>
      <c r="X74" s="17">
        <v>0</v>
      </c>
      <c r="Y74" s="17"/>
    </row>
    <row r="75" spans="1:37" s="6" customFormat="1" ht="15.75" x14ac:dyDescent="0.25">
      <c r="A75" s="11">
        <v>20</v>
      </c>
      <c r="B75" s="19">
        <v>1</v>
      </c>
      <c r="C75" s="17">
        <v>0</v>
      </c>
      <c r="D75" s="17">
        <v>0</v>
      </c>
      <c r="E75" s="17">
        <v>0</v>
      </c>
      <c r="F75" s="17">
        <v>0</v>
      </c>
      <c r="G75" s="19">
        <f>2*(-1*INDEX('Desconto Processos'!$N$5:$S$32,MATCH(180-$A75,'Desconto Processos'!$A$5:$A$32,0),MATCH(G$104,'Desconto Processos'!$N$3:$S$3,0))+INDEX('Acrescimo Tangente'!$B$68:$W$95,MATCH($A75,$A$10:$A$37,0),MATCH(G$104,$C$9:$X$9,0)))</f>
        <v>0.4</v>
      </c>
      <c r="H75" s="19">
        <f>2*(-1*INDEX('Desconto Processos'!$N$5:$S$32,MATCH(180-$A75,'Desconto Processos'!$A$5:$A$32,0),MATCH(H$104,'Desconto Processos'!$N$3:$S$3,0))+INDEX('Acrescimo Tangente'!$B$68:$W$95,MATCH($A75,$A$10:$A$37,0),MATCH(H$104,$C$9:$X$9,0)))</f>
        <v>0.4</v>
      </c>
      <c r="I75" s="17">
        <v>0</v>
      </c>
      <c r="J75" s="19">
        <f>2*(-1*INDEX('Desconto Processos'!$N$5:$S$32,MATCH(180-$A75,'Desconto Processos'!$A$5:$A$32,0),MATCH(J$104,'Desconto Processos'!$N$3:$S$3,0))+INDEX('Acrescimo Tangente'!$B$68:$W$95,MATCH($A75,$A$10:$A$37,0),MATCH(J$104,$C$9:$X$9,0)))</f>
        <v>0.4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9">
        <f>2*(-1*INDEX('Desconto Processos'!$N$5:$S$32,MATCH(180-$A75,'Desconto Processos'!$A$5:$A$32,0),MATCH(P$104,'Desconto Processos'!$N$3:$S$3,0))+INDEX('Acrescimo Tangente'!$B$68:$W$95,MATCH($A75,$A$10:$A$37,0),MATCH(P$104,$C$9:$X$9,0)))</f>
        <v>0.4</v>
      </c>
      <c r="Q75" s="17">
        <v>0</v>
      </c>
      <c r="R75" s="17">
        <v>0</v>
      </c>
      <c r="S75" s="17">
        <v>0</v>
      </c>
      <c r="T75" s="17">
        <v>0</v>
      </c>
      <c r="U75" s="19">
        <f>2*(-1*INDEX('Desconto Processos'!$N$5:$S$32,MATCH(180-$A75,'Desconto Processos'!$A$5:$A$32,0),MATCH(U$104,'Desconto Processos'!$N$3:$S$3,0))+INDEX('Acrescimo Tangente'!$B$68:$W$95,MATCH($A75,$A$10:$A$37,0),MATCH(U$104,$C$9:$X$9,0)))</f>
        <v>0.4</v>
      </c>
      <c r="V75" s="19">
        <f>2*(-1*INDEX('Desconto Processos'!$N$5:$S$32,MATCH(180-$A75,'Desconto Processos'!$A$5:$A$32,0),MATCH(V$104,'Desconto Processos'!$N$3:$S$3,0))+INDEX('Acrescimo Tangente'!$B$68:$W$95,MATCH($A75,$A$10:$A$37,0),MATCH(V$104,$C$9:$X$9,0)))</f>
        <v>0.4</v>
      </c>
      <c r="W75" s="17">
        <v>0</v>
      </c>
      <c r="X75" s="17">
        <v>0</v>
      </c>
      <c r="Y75" s="17"/>
    </row>
    <row r="76" spans="1:37" s="6" customFormat="1" ht="15.75" x14ac:dyDescent="0.25">
      <c r="A76" s="11">
        <v>25</v>
      </c>
      <c r="B76" s="19">
        <v>1</v>
      </c>
      <c r="C76" s="17">
        <v>0</v>
      </c>
      <c r="D76" s="17">
        <v>0</v>
      </c>
      <c r="E76" s="17">
        <v>0</v>
      </c>
      <c r="F76" s="17">
        <v>0</v>
      </c>
      <c r="G76" s="19">
        <f>2*(-1*INDEX('Desconto Processos'!$N$5:$S$32,MATCH(180-$A76,'Desconto Processos'!$A$5:$A$32,0),MATCH(G$104,'Desconto Processos'!$N$3:$S$3,0))+INDEX('Acrescimo Tangente'!$B$68:$W$95,MATCH($A76,$A$10:$A$37,0),MATCH(G$104,$C$9:$X$9,0)))</f>
        <v>0.5</v>
      </c>
      <c r="H76" s="19">
        <f>2*(-1*INDEX('Desconto Processos'!$N$5:$S$32,MATCH(180-$A76,'Desconto Processos'!$A$5:$A$32,0),MATCH(H$104,'Desconto Processos'!$N$3:$S$3,0))+INDEX('Acrescimo Tangente'!$B$68:$W$95,MATCH($A76,$A$10:$A$37,0),MATCH(H$104,$C$9:$X$9,0)))</f>
        <v>0.5</v>
      </c>
      <c r="I76" s="17">
        <v>0</v>
      </c>
      <c r="J76" s="19">
        <f>2*(-1*INDEX('Desconto Processos'!$N$5:$S$32,MATCH(180-$A76,'Desconto Processos'!$A$5:$A$32,0),MATCH(J$104,'Desconto Processos'!$N$3:$S$3,0))+INDEX('Acrescimo Tangente'!$B$68:$W$95,MATCH($A76,$A$10:$A$37,0),MATCH(J$104,$C$9:$X$9,0)))</f>
        <v>0.5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9">
        <f>2*(-1*INDEX('Desconto Processos'!$N$5:$S$32,MATCH(180-$A76,'Desconto Processos'!$A$5:$A$32,0),MATCH(P$104,'Desconto Processos'!$N$3:$S$3,0))+INDEX('Acrescimo Tangente'!$B$68:$W$95,MATCH($A76,$A$10:$A$37,0),MATCH(P$104,$C$9:$X$9,0)))</f>
        <v>0.5</v>
      </c>
      <c r="Q76" s="17">
        <v>0</v>
      </c>
      <c r="R76" s="17">
        <v>0</v>
      </c>
      <c r="S76" s="17">
        <v>0</v>
      </c>
      <c r="T76" s="17">
        <v>0</v>
      </c>
      <c r="U76" s="19">
        <f>2*(-1*INDEX('Desconto Processos'!$N$5:$S$32,MATCH(180-$A76,'Desconto Processos'!$A$5:$A$32,0),MATCH(U$104,'Desconto Processos'!$N$3:$S$3,0))+INDEX('Acrescimo Tangente'!$B$68:$W$95,MATCH($A76,$A$10:$A$37,0),MATCH(U$104,$C$9:$X$9,0)))</f>
        <v>0.5</v>
      </c>
      <c r="V76" s="19">
        <f>2*(-1*INDEX('Desconto Processos'!$N$5:$S$32,MATCH(180-$A76,'Desconto Processos'!$A$5:$A$32,0),MATCH(V$104,'Desconto Processos'!$N$3:$S$3,0))+INDEX('Acrescimo Tangente'!$B$68:$W$95,MATCH($A76,$A$10:$A$37,0),MATCH(V$104,$C$9:$X$9,0)))</f>
        <v>0.6</v>
      </c>
      <c r="W76" s="17">
        <v>0</v>
      </c>
      <c r="X76" s="17">
        <v>0</v>
      </c>
      <c r="Y76" s="17"/>
    </row>
    <row r="77" spans="1:37" s="6" customFormat="1" ht="15.75" x14ac:dyDescent="0.25">
      <c r="A77" s="11">
        <v>30</v>
      </c>
      <c r="B77" s="19">
        <v>1</v>
      </c>
      <c r="C77" s="17">
        <v>0</v>
      </c>
      <c r="D77" s="17">
        <v>0</v>
      </c>
      <c r="E77" s="17">
        <v>0</v>
      </c>
      <c r="F77" s="17">
        <v>0</v>
      </c>
      <c r="G77" s="19">
        <f>2*(-1*INDEX('Desconto Processos'!$N$5:$S$32,MATCH(180-$A77,'Desconto Processos'!$A$5:$A$32,0),MATCH(G$104,'Desconto Processos'!$N$3:$S$3,0))+INDEX('Acrescimo Tangente'!$B$68:$W$95,MATCH($A77,$A$10:$A$37,0),MATCH(G$104,$C$9:$X$9,0)))</f>
        <v>0.6</v>
      </c>
      <c r="H77" s="19">
        <f>2*(-1*INDEX('Desconto Processos'!$N$5:$S$32,MATCH(180-$A77,'Desconto Processos'!$A$5:$A$32,0),MATCH(H$104,'Desconto Processos'!$N$3:$S$3,0))+INDEX('Acrescimo Tangente'!$B$68:$W$95,MATCH($A77,$A$10:$A$37,0),MATCH(H$104,$C$9:$X$9,0)))</f>
        <v>0.6</v>
      </c>
      <c r="I77" s="17">
        <v>0</v>
      </c>
      <c r="J77" s="19">
        <f>2*(-1*INDEX('Desconto Processos'!$N$5:$S$32,MATCH(180-$A77,'Desconto Processos'!$A$5:$A$32,0),MATCH(J$104,'Desconto Processos'!$N$3:$S$3,0))+INDEX('Acrescimo Tangente'!$B$68:$W$95,MATCH($A77,$A$10:$A$37,0),MATCH(J$104,$C$9:$X$9,0)))</f>
        <v>0.6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9">
        <f>2*(-1*INDEX('Desconto Processos'!$N$5:$S$32,MATCH(180-$A77,'Desconto Processos'!$A$5:$A$32,0),MATCH(P$104,'Desconto Processos'!$N$3:$S$3,0))+INDEX('Acrescimo Tangente'!$B$68:$W$95,MATCH($A77,$A$10:$A$37,0),MATCH(P$104,$C$9:$X$9,0)))</f>
        <v>0.6</v>
      </c>
      <c r="Q77" s="17">
        <v>0</v>
      </c>
      <c r="R77" s="17">
        <v>0</v>
      </c>
      <c r="S77" s="17">
        <v>0</v>
      </c>
      <c r="T77" s="17">
        <v>0</v>
      </c>
      <c r="U77" s="19">
        <f>2*(-1*INDEX('Desconto Processos'!$N$5:$S$32,MATCH(180-$A77,'Desconto Processos'!$A$5:$A$32,0),MATCH(U$104,'Desconto Processos'!$N$3:$S$3,0))+INDEX('Acrescimo Tangente'!$B$68:$W$95,MATCH($A77,$A$10:$A$37,0),MATCH(U$104,$C$9:$X$9,0)))</f>
        <v>0.7</v>
      </c>
      <c r="V77" s="19">
        <f>2*(-1*INDEX('Desconto Processos'!$N$5:$S$32,MATCH(180-$A77,'Desconto Processos'!$A$5:$A$32,0),MATCH(V$104,'Desconto Processos'!$N$3:$S$3,0))+INDEX('Acrescimo Tangente'!$B$68:$W$95,MATCH($A77,$A$10:$A$37,0),MATCH(V$104,$C$9:$X$9,0)))</f>
        <v>0.7</v>
      </c>
      <c r="W77" s="17">
        <v>0</v>
      </c>
      <c r="X77" s="17">
        <v>0</v>
      </c>
      <c r="Y77" s="17"/>
    </row>
    <row r="78" spans="1:37" s="6" customFormat="1" ht="15.75" x14ac:dyDescent="0.25">
      <c r="A78" s="11">
        <v>35</v>
      </c>
      <c r="B78" s="19">
        <v>1</v>
      </c>
      <c r="C78" s="17">
        <v>0</v>
      </c>
      <c r="D78" s="17">
        <v>0</v>
      </c>
      <c r="E78" s="17">
        <v>0</v>
      </c>
      <c r="F78" s="17">
        <v>0</v>
      </c>
      <c r="G78" s="19">
        <f>2*(-1*INDEX('Desconto Processos'!$N$5:$S$32,MATCH(180-$A78,'Desconto Processos'!$A$5:$A$32,0),MATCH(G$104,'Desconto Processos'!$N$3:$S$3,0))+INDEX('Acrescimo Tangente'!$B$68:$W$95,MATCH($A78,$A$10:$A$37,0),MATCH(G$104,$C$9:$X$9,0)))</f>
        <v>0.7</v>
      </c>
      <c r="H78" s="19">
        <f>2*(-1*INDEX('Desconto Processos'!$N$5:$S$32,MATCH(180-$A78,'Desconto Processos'!$A$5:$A$32,0),MATCH(H$104,'Desconto Processos'!$N$3:$S$3,0))+INDEX('Acrescimo Tangente'!$B$68:$W$95,MATCH($A78,$A$10:$A$37,0),MATCH(H$104,$C$9:$X$9,0)))</f>
        <v>0.7</v>
      </c>
      <c r="I78" s="17">
        <v>0</v>
      </c>
      <c r="J78" s="19">
        <f>2*(-1*INDEX('Desconto Processos'!$N$5:$S$32,MATCH(180-$A78,'Desconto Processos'!$A$5:$A$32,0),MATCH(J$104,'Desconto Processos'!$N$3:$S$3,0))+INDEX('Acrescimo Tangente'!$B$68:$W$95,MATCH($A78,$A$10:$A$37,0),MATCH(J$104,$C$9:$X$9,0)))</f>
        <v>0.7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9">
        <f>2*(-1*INDEX('Desconto Processos'!$N$5:$S$32,MATCH(180-$A78,'Desconto Processos'!$A$5:$A$32,0),MATCH(P$104,'Desconto Processos'!$N$3:$S$3,0))+INDEX('Acrescimo Tangente'!$B$68:$W$95,MATCH($A78,$A$10:$A$37,0),MATCH(P$104,$C$9:$X$9,0)))</f>
        <v>0.7</v>
      </c>
      <c r="Q78" s="17">
        <v>0</v>
      </c>
      <c r="R78" s="17">
        <v>0</v>
      </c>
      <c r="S78" s="17">
        <v>0</v>
      </c>
      <c r="T78" s="17">
        <v>0</v>
      </c>
      <c r="U78" s="19">
        <f>2*(-1*INDEX('Desconto Processos'!$N$5:$S$32,MATCH(180-$A78,'Desconto Processos'!$A$5:$A$32,0),MATCH(U$104,'Desconto Processos'!$N$3:$S$3,0))+INDEX('Acrescimo Tangente'!$B$68:$W$95,MATCH($A78,$A$10:$A$37,0),MATCH(U$104,$C$9:$X$9,0)))</f>
        <v>0.8</v>
      </c>
      <c r="V78" s="19">
        <f>2*(-1*INDEX('Desconto Processos'!$N$5:$S$32,MATCH(180-$A78,'Desconto Processos'!$A$5:$A$32,0),MATCH(V$104,'Desconto Processos'!$N$3:$S$3,0))+INDEX('Acrescimo Tangente'!$B$68:$W$95,MATCH($A78,$A$10:$A$37,0),MATCH(V$104,$C$9:$X$9,0)))</f>
        <v>0.6</v>
      </c>
      <c r="W78" s="17">
        <v>0</v>
      </c>
      <c r="X78" s="17">
        <v>0</v>
      </c>
      <c r="Y78" s="17"/>
    </row>
    <row r="79" spans="1:37" s="6" customFormat="1" ht="15.75" x14ac:dyDescent="0.25">
      <c r="A79" s="11">
        <v>40</v>
      </c>
      <c r="B79" s="19">
        <v>1</v>
      </c>
      <c r="C79" s="17">
        <v>0</v>
      </c>
      <c r="D79" s="17">
        <v>0</v>
      </c>
      <c r="E79" s="17">
        <v>0</v>
      </c>
      <c r="F79" s="17">
        <v>0</v>
      </c>
      <c r="G79" s="19">
        <f>2*(-1*INDEX('Desconto Processos'!$N$5:$S$32,MATCH(180-$A79,'Desconto Processos'!$A$5:$A$32,0),MATCH(G$104,'Desconto Processos'!$N$3:$S$3,0))+INDEX('Acrescimo Tangente'!$B$68:$W$95,MATCH($A79,$A$10:$A$37,0),MATCH(G$104,$C$9:$X$9,0)))</f>
        <v>0.8</v>
      </c>
      <c r="H79" s="19">
        <f>2*(-1*INDEX('Desconto Processos'!$N$5:$S$32,MATCH(180-$A79,'Desconto Processos'!$A$5:$A$32,0),MATCH(H$104,'Desconto Processos'!$N$3:$S$3,0))+INDEX('Acrescimo Tangente'!$B$68:$W$95,MATCH($A79,$A$10:$A$37,0),MATCH(H$104,$C$9:$X$9,0)))</f>
        <v>0.8</v>
      </c>
      <c r="I79" s="17">
        <v>0</v>
      </c>
      <c r="J79" s="19">
        <f>2*(-1*INDEX('Desconto Processos'!$N$5:$S$32,MATCH(180-$A79,'Desconto Processos'!$A$5:$A$32,0),MATCH(J$104,'Desconto Processos'!$N$3:$S$3,0))+INDEX('Acrescimo Tangente'!$B$68:$W$95,MATCH($A79,$A$10:$A$37,0),MATCH(J$104,$C$9:$X$9,0)))</f>
        <v>0.9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9">
        <f>2*(-1*INDEX('Desconto Processos'!$N$5:$S$32,MATCH(180-$A79,'Desconto Processos'!$A$5:$A$32,0),MATCH(P$104,'Desconto Processos'!$N$3:$S$3,0))+INDEX('Acrescimo Tangente'!$B$68:$W$95,MATCH($A79,$A$10:$A$37,0),MATCH(P$104,$C$9:$X$9,0)))</f>
        <v>0.8</v>
      </c>
      <c r="Q79" s="17">
        <v>0</v>
      </c>
      <c r="R79" s="17">
        <v>0</v>
      </c>
      <c r="S79" s="17">
        <v>0</v>
      </c>
      <c r="T79" s="17">
        <v>0</v>
      </c>
      <c r="U79" s="19">
        <f>2*(-1*INDEX('Desconto Processos'!$N$5:$S$32,MATCH(180-$A79,'Desconto Processos'!$A$5:$A$32,0),MATCH(U$104,'Desconto Processos'!$N$3:$S$3,0))+INDEX('Acrescimo Tangente'!$B$68:$W$95,MATCH($A79,$A$10:$A$37,0),MATCH(U$104,$C$9:$X$9,0)))</f>
        <v>0.9</v>
      </c>
      <c r="V79" s="19">
        <f>2*(-1*INDEX('Desconto Processos'!$N$5:$S$32,MATCH(180-$A79,'Desconto Processos'!$A$5:$A$32,0),MATCH(V$104,'Desconto Processos'!$N$3:$S$3,0))+INDEX('Acrescimo Tangente'!$B$68:$W$95,MATCH($A79,$A$10:$A$37,0),MATCH(V$104,$C$9:$X$9,0)))</f>
        <v>0.8</v>
      </c>
      <c r="W79" s="17">
        <v>0</v>
      </c>
      <c r="X79" s="17">
        <v>0</v>
      </c>
      <c r="Y79" s="17"/>
    </row>
    <row r="80" spans="1:37" s="6" customFormat="1" ht="15.75" x14ac:dyDescent="0.25">
      <c r="A80" s="11">
        <v>45</v>
      </c>
      <c r="B80" s="19">
        <v>1</v>
      </c>
      <c r="C80" s="17">
        <v>0</v>
      </c>
      <c r="D80" s="17">
        <v>0</v>
      </c>
      <c r="E80" s="17">
        <v>0</v>
      </c>
      <c r="F80" s="17">
        <v>0</v>
      </c>
      <c r="G80" s="19">
        <f>2*(-1*INDEX('Desconto Processos'!$N$5:$S$32,MATCH(180-$A80,'Desconto Processos'!$A$5:$A$32,0),MATCH(G$104,'Desconto Processos'!$N$3:$S$3,0))+INDEX('Acrescimo Tangente'!$B$68:$W$95,MATCH($A80,$A$10:$A$37,0),MATCH(G$104,$C$9:$X$9,0)))</f>
        <v>0.9</v>
      </c>
      <c r="H80" s="19">
        <f>2*(-1*INDEX('Desconto Processos'!$N$5:$S$32,MATCH(180-$A80,'Desconto Processos'!$A$5:$A$32,0),MATCH(H$104,'Desconto Processos'!$N$3:$S$3,0))+INDEX('Acrescimo Tangente'!$B$68:$W$95,MATCH($A80,$A$10:$A$37,0),MATCH(H$104,$C$9:$X$9,0)))</f>
        <v>1</v>
      </c>
      <c r="I80" s="17">
        <v>0</v>
      </c>
      <c r="J80" s="19">
        <f>2*(-1*INDEX('Desconto Processos'!$N$5:$S$32,MATCH(180-$A80,'Desconto Processos'!$A$5:$A$32,0),MATCH(J$104,'Desconto Processos'!$N$3:$S$3,0))+INDEX('Acrescimo Tangente'!$B$68:$W$95,MATCH($A80,$A$10:$A$37,0),MATCH(J$104,$C$9:$X$9,0)))</f>
        <v>1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9">
        <f>2*(-1*INDEX('Desconto Processos'!$N$5:$S$32,MATCH(180-$A80,'Desconto Processos'!$A$5:$A$32,0),MATCH(P$104,'Desconto Processos'!$N$3:$S$3,0))+INDEX('Acrescimo Tangente'!$B$68:$W$95,MATCH($A80,$A$10:$A$37,0),MATCH(P$104,$C$9:$X$9,0)))</f>
        <v>0.9</v>
      </c>
      <c r="Q80" s="17">
        <v>0</v>
      </c>
      <c r="R80" s="17">
        <v>0</v>
      </c>
      <c r="S80" s="17">
        <v>0</v>
      </c>
      <c r="T80" s="17">
        <v>0</v>
      </c>
      <c r="U80" s="19">
        <f>2*(-1*INDEX('Desconto Processos'!$N$5:$S$32,MATCH(180-$A80,'Desconto Processos'!$A$5:$A$32,0),MATCH(U$104,'Desconto Processos'!$N$3:$S$3,0))+INDEX('Acrescimo Tangente'!$B$68:$W$95,MATCH($A80,$A$10:$A$37,0),MATCH(U$104,$C$9:$X$9,0)))</f>
        <v>1.1000000000000001</v>
      </c>
      <c r="V80" s="19">
        <f>2*(-1*INDEX('Desconto Processos'!$N$5:$S$32,MATCH(180-$A80,'Desconto Processos'!$A$5:$A$32,0),MATCH(V$104,'Desconto Processos'!$N$3:$S$3,0))+INDEX('Acrescimo Tangente'!$B$68:$W$95,MATCH($A80,$A$10:$A$37,0),MATCH(V$104,$C$9:$X$9,0)))</f>
        <v>1</v>
      </c>
      <c r="W80" s="17">
        <v>0</v>
      </c>
      <c r="X80" s="17">
        <v>0</v>
      </c>
      <c r="Y80" s="17"/>
    </row>
    <row r="81" spans="1:25" s="6" customFormat="1" ht="15.75" x14ac:dyDescent="0.25">
      <c r="A81" s="11">
        <v>50</v>
      </c>
      <c r="B81" s="19">
        <v>1</v>
      </c>
      <c r="C81" s="17">
        <v>0</v>
      </c>
      <c r="D81" s="17">
        <v>0</v>
      </c>
      <c r="E81" s="17">
        <v>0</v>
      </c>
      <c r="F81" s="17">
        <v>0</v>
      </c>
      <c r="G81" s="19">
        <f>2*(-1*INDEX('Desconto Processos'!$N$5:$S$32,MATCH(180-$A81,'Desconto Processos'!$A$5:$A$32,0),MATCH(G$104,'Desconto Processos'!$N$3:$S$3,0))+INDEX('Acrescimo Tangente'!$B$68:$W$95,MATCH($A81,$A$10:$A$37,0),MATCH(G$104,$C$9:$X$9,0)))</f>
        <v>1</v>
      </c>
      <c r="H81" s="19">
        <f>2*(-1*INDEX('Desconto Processos'!$N$5:$S$32,MATCH(180-$A81,'Desconto Processos'!$A$5:$A$32,0),MATCH(H$104,'Desconto Processos'!$N$3:$S$3,0))+INDEX('Acrescimo Tangente'!$B$68:$W$95,MATCH($A81,$A$10:$A$37,0),MATCH(H$104,$C$9:$X$9,0)))</f>
        <v>1.1000000000000001</v>
      </c>
      <c r="I81" s="17">
        <v>0</v>
      </c>
      <c r="J81" s="19">
        <f>2*(-1*INDEX('Desconto Processos'!$N$5:$S$32,MATCH(180-$A81,'Desconto Processos'!$A$5:$A$32,0),MATCH(J$104,'Desconto Processos'!$N$3:$S$3,0))+INDEX('Acrescimo Tangente'!$B$68:$W$95,MATCH($A81,$A$10:$A$37,0),MATCH(J$104,$C$9:$X$9,0)))</f>
        <v>1.2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9">
        <f>2*(-1*INDEX('Desconto Processos'!$N$5:$S$32,MATCH(180-$A81,'Desconto Processos'!$A$5:$A$32,0),MATCH(P$104,'Desconto Processos'!$N$3:$S$3,0))+INDEX('Acrescimo Tangente'!$B$68:$W$95,MATCH($A81,$A$10:$A$37,0),MATCH(P$104,$C$9:$X$9,0)))</f>
        <v>1.1000000000000001</v>
      </c>
      <c r="Q81" s="17">
        <v>0</v>
      </c>
      <c r="R81" s="17">
        <v>0</v>
      </c>
      <c r="S81" s="17">
        <v>0</v>
      </c>
      <c r="T81" s="17">
        <v>0</v>
      </c>
      <c r="U81" s="19">
        <f>2*(-1*INDEX('Desconto Processos'!$N$5:$S$32,MATCH(180-$A81,'Desconto Processos'!$A$5:$A$32,0),MATCH(U$104,'Desconto Processos'!$N$3:$S$3,0))+INDEX('Acrescimo Tangente'!$B$68:$W$95,MATCH($A81,$A$10:$A$37,0),MATCH(U$104,$C$9:$X$9,0)))</f>
        <v>1.3</v>
      </c>
      <c r="V81" s="19">
        <f>2*(-1*INDEX('Desconto Processos'!$N$5:$S$32,MATCH(180-$A81,'Desconto Processos'!$A$5:$A$32,0),MATCH(V$104,'Desconto Processos'!$N$3:$S$3,0))+INDEX('Acrescimo Tangente'!$B$68:$W$95,MATCH($A81,$A$10:$A$37,0),MATCH(V$104,$C$9:$X$9,0)))</f>
        <v>1.2</v>
      </c>
      <c r="W81" s="17">
        <v>0</v>
      </c>
      <c r="X81" s="17">
        <v>0</v>
      </c>
      <c r="Y81" s="17"/>
    </row>
    <row r="82" spans="1:25" s="6" customFormat="1" ht="15.75" x14ac:dyDescent="0.25">
      <c r="A82" s="11">
        <v>55</v>
      </c>
      <c r="B82" s="19">
        <v>1</v>
      </c>
      <c r="C82" s="17">
        <v>0</v>
      </c>
      <c r="D82" s="17">
        <v>0</v>
      </c>
      <c r="E82" s="17">
        <v>0</v>
      </c>
      <c r="F82" s="17">
        <v>0</v>
      </c>
      <c r="G82" s="19">
        <f>2*(-1*INDEX('Desconto Processos'!$N$5:$S$32,MATCH(180-$A82,'Desconto Processos'!$A$5:$A$32,0),MATCH(G$104,'Desconto Processos'!$N$3:$S$3,0))+INDEX('Acrescimo Tangente'!$B$68:$W$95,MATCH($A82,$A$10:$A$37,0),MATCH(G$104,$C$9:$X$9,0)))</f>
        <v>1.2</v>
      </c>
      <c r="H82" s="19">
        <f>2*(-1*INDEX('Desconto Processos'!$N$5:$S$32,MATCH(180-$A82,'Desconto Processos'!$A$5:$A$32,0),MATCH(H$104,'Desconto Processos'!$N$3:$S$3,0))+INDEX('Acrescimo Tangente'!$B$68:$W$95,MATCH($A82,$A$10:$A$37,0),MATCH(H$104,$C$9:$X$9,0)))</f>
        <v>1.2</v>
      </c>
      <c r="I82" s="17">
        <v>0</v>
      </c>
      <c r="J82" s="19">
        <f>2*(-1*INDEX('Desconto Processos'!$N$5:$S$32,MATCH(180-$A82,'Desconto Processos'!$A$5:$A$32,0),MATCH(J$104,'Desconto Processos'!$N$3:$S$3,0))+INDEX('Acrescimo Tangente'!$B$68:$W$95,MATCH($A82,$A$10:$A$37,0),MATCH(J$104,$C$9:$X$9,0)))</f>
        <v>1.4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9">
        <f>2*(-1*INDEX('Desconto Processos'!$N$5:$S$32,MATCH(180-$A82,'Desconto Processos'!$A$5:$A$32,0),MATCH(P$104,'Desconto Processos'!$N$3:$S$3,0))+INDEX('Acrescimo Tangente'!$B$68:$W$95,MATCH($A82,$A$10:$A$37,0),MATCH(P$104,$C$9:$X$9,0)))</f>
        <v>1.4</v>
      </c>
      <c r="Q82" s="17">
        <v>0</v>
      </c>
      <c r="R82" s="17">
        <v>0</v>
      </c>
      <c r="S82" s="17">
        <v>0</v>
      </c>
      <c r="T82" s="17">
        <v>0</v>
      </c>
      <c r="U82" s="19">
        <f>2*(-1*INDEX('Desconto Processos'!$N$5:$S$32,MATCH(180-$A82,'Desconto Processos'!$A$5:$A$32,0),MATCH(U$104,'Desconto Processos'!$N$3:$S$3,0))+INDEX('Acrescimo Tangente'!$B$68:$W$95,MATCH($A82,$A$10:$A$37,0),MATCH(U$104,$C$9:$X$9,0)))</f>
        <v>1.5</v>
      </c>
      <c r="V82" s="19">
        <f>2*(-1*INDEX('Desconto Processos'!$N$5:$S$32,MATCH(180-$A82,'Desconto Processos'!$A$5:$A$32,0),MATCH(V$104,'Desconto Processos'!$N$3:$S$3,0))+INDEX('Acrescimo Tangente'!$B$68:$W$95,MATCH($A82,$A$10:$A$37,0),MATCH(V$104,$C$9:$X$9,0)))</f>
        <v>1.4</v>
      </c>
      <c r="W82" s="17">
        <v>0</v>
      </c>
      <c r="X82" s="17">
        <v>0</v>
      </c>
      <c r="Y82" s="17"/>
    </row>
    <row r="83" spans="1:25" s="6" customFormat="1" ht="15.75" x14ac:dyDescent="0.25">
      <c r="A83" s="11">
        <v>60</v>
      </c>
      <c r="B83" s="19">
        <v>1</v>
      </c>
      <c r="C83" s="17">
        <v>0</v>
      </c>
      <c r="D83" s="17">
        <v>0</v>
      </c>
      <c r="E83" s="17">
        <v>0</v>
      </c>
      <c r="F83" s="17">
        <v>0</v>
      </c>
      <c r="G83" s="19">
        <f>2*(-1*INDEX('Desconto Processos'!$N$5:$S$32,MATCH(180-$A83,'Desconto Processos'!$A$5:$A$32,0),MATCH(G$104,'Desconto Processos'!$N$3:$S$3,0))+INDEX('Acrescimo Tangente'!$B$68:$W$95,MATCH($A83,$A$10:$A$37,0),MATCH(G$104,$C$9:$X$9,0)))</f>
        <v>1.4</v>
      </c>
      <c r="H83" s="19">
        <f>2*(-1*INDEX('Desconto Processos'!$N$5:$S$32,MATCH(180-$A83,'Desconto Processos'!$A$5:$A$32,0),MATCH(H$104,'Desconto Processos'!$N$3:$S$3,0))+INDEX('Acrescimo Tangente'!$B$68:$W$95,MATCH($A83,$A$10:$A$37,0),MATCH(H$104,$C$9:$X$9,0)))</f>
        <v>1.4</v>
      </c>
      <c r="I83" s="17">
        <v>0</v>
      </c>
      <c r="J83" s="19">
        <f>2*(-1*INDEX('Desconto Processos'!$N$5:$S$32,MATCH(180-$A83,'Desconto Processos'!$A$5:$A$32,0),MATCH(J$104,'Desconto Processos'!$N$3:$S$3,0))+INDEX('Acrescimo Tangente'!$B$68:$W$95,MATCH($A83,$A$10:$A$37,0),MATCH(J$104,$C$9:$X$9,0)))</f>
        <v>1.6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9">
        <f>2*(-1*INDEX('Desconto Processos'!$N$5:$S$32,MATCH(180-$A83,'Desconto Processos'!$A$5:$A$32,0),MATCH(P$104,'Desconto Processos'!$N$3:$S$3,0))+INDEX('Acrescimo Tangente'!$B$68:$W$95,MATCH($A83,$A$10:$A$37,0),MATCH(P$104,$C$9:$X$9,0)))</f>
        <v>1.6</v>
      </c>
      <c r="Q83" s="17">
        <v>0</v>
      </c>
      <c r="R83" s="17">
        <v>0</v>
      </c>
      <c r="S83" s="17">
        <v>0</v>
      </c>
      <c r="T83" s="17">
        <v>0</v>
      </c>
      <c r="U83" s="19">
        <f>2*(-1*INDEX('Desconto Processos'!$N$5:$S$32,MATCH(180-$A83,'Desconto Processos'!$A$5:$A$32,0),MATCH(U$104,'Desconto Processos'!$N$3:$S$3,0))+INDEX('Acrescimo Tangente'!$B$68:$W$95,MATCH($A83,$A$10:$A$37,0),MATCH(U$104,$C$9:$X$9,0)))</f>
        <v>1.8</v>
      </c>
      <c r="V83" s="19">
        <f>2*(-1*INDEX('Desconto Processos'!$N$5:$S$32,MATCH(180-$A83,'Desconto Processos'!$A$5:$A$32,0),MATCH(V$104,'Desconto Processos'!$N$3:$S$3,0))+INDEX('Acrescimo Tangente'!$B$68:$W$95,MATCH($A83,$A$10:$A$37,0),MATCH(V$104,$C$9:$X$9,0)))</f>
        <v>1.6</v>
      </c>
      <c r="W83" s="17">
        <v>0</v>
      </c>
      <c r="X83" s="17">
        <v>0</v>
      </c>
      <c r="Y83" s="17"/>
    </row>
    <row r="84" spans="1:25" s="6" customFormat="1" ht="15.75" x14ac:dyDescent="0.25">
      <c r="A84" s="11">
        <v>65</v>
      </c>
      <c r="B84" s="19">
        <v>1</v>
      </c>
      <c r="C84" s="17">
        <v>0</v>
      </c>
      <c r="D84" s="17">
        <v>0</v>
      </c>
      <c r="E84" s="17">
        <v>0</v>
      </c>
      <c r="F84" s="17">
        <v>0</v>
      </c>
      <c r="G84" s="19">
        <f>2*(-1*INDEX('Desconto Processos'!$N$5:$S$32,MATCH(180-$A84,'Desconto Processos'!$A$5:$A$32,0),MATCH(G$104,'Desconto Processos'!$N$3:$S$3,0))+INDEX('Acrescimo Tangente'!$B$68:$W$95,MATCH($A84,$A$10:$A$37,0),MATCH(G$104,$C$9:$X$9,0)))</f>
        <v>1.5</v>
      </c>
      <c r="H84" s="19">
        <f>2*(-1*INDEX('Desconto Processos'!$N$5:$S$32,MATCH(180-$A84,'Desconto Processos'!$A$5:$A$32,0),MATCH(H$104,'Desconto Processos'!$N$3:$S$3,0))+INDEX('Acrescimo Tangente'!$B$68:$W$95,MATCH($A84,$A$10:$A$37,0),MATCH(H$104,$C$9:$X$9,0)))</f>
        <v>1.6</v>
      </c>
      <c r="I84" s="17">
        <v>0</v>
      </c>
      <c r="J84" s="19">
        <f>2*(-1*INDEX('Desconto Processos'!$N$5:$S$32,MATCH(180-$A84,'Desconto Processos'!$A$5:$A$32,0),MATCH(J$104,'Desconto Processos'!$N$3:$S$3,0))+INDEX('Acrescimo Tangente'!$B$68:$W$95,MATCH($A84,$A$10:$A$37,0),MATCH(J$104,$C$9:$X$9,0)))</f>
        <v>1.8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9">
        <f>2*(-1*INDEX('Desconto Processos'!$N$5:$S$32,MATCH(180-$A84,'Desconto Processos'!$A$5:$A$32,0),MATCH(P$104,'Desconto Processos'!$N$3:$S$3,0))+INDEX('Acrescimo Tangente'!$B$68:$W$95,MATCH($A84,$A$10:$A$37,0),MATCH(P$104,$C$9:$X$9,0)))</f>
        <v>1.7</v>
      </c>
      <c r="Q84" s="17">
        <v>0</v>
      </c>
      <c r="R84" s="17">
        <v>0</v>
      </c>
      <c r="S84" s="17">
        <v>0</v>
      </c>
      <c r="T84" s="17">
        <v>0</v>
      </c>
      <c r="U84" s="19">
        <f>2*(-1*INDEX('Desconto Processos'!$N$5:$S$32,MATCH(180-$A84,'Desconto Processos'!$A$5:$A$32,0),MATCH(U$104,'Desconto Processos'!$N$3:$S$3,0))+INDEX('Acrescimo Tangente'!$B$68:$W$95,MATCH($A84,$A$10:$A$37,0),MATCH(U$104,$C$9:$X$9,0)))</f>
        <v>2</v>
      </c>
      <c r="V84" s="19">
        <f>2*(-1*INDEX('Desconto Processos'!$N$5:$S$32,MATCH(180-$A84,'Desconto Processos'!$A$5:$A$32,0),MATCH(V$104,'Desconto Processos'!$N$3:$S$3,0))+INDEX('Acrescimo Tangente'!$B$68:$W$95,MATCH($A84,$A$10:$A$37,0),MATCH(V$104,$C$9:$X$9,0)))</f>
        <v>1.9</v>
      </c>
      <c r="W84" s="17">
        <v>0</v>
      </c>
      <c r="X84" s="17">
        <v>0</v>
      </c>
      <c r="Y84" s="17"/>
    </row>
    <row r="85" spans="1:25" s="6" customFormat="1" ht="15.75" x14ac:dyDescent="0.25">
      <c r="A85" s="11">
        <v>70</v>
      </c>
      <c r="B85" s="19">
        <v>1</v>
      </c>
      <c r="C85" s="17">
        <v>0</v>
      </c>
      <c r="D85" s="17">
        <v>0</v>
      </c>
      <c r="E85" s="17">
        <v>0</v>
      </c>
      <c r="F85" s="17">
        <v>0</v>
      </c>
      <c r="G85" s="19">
        <f>2*(-1*INDEX('Desconto Processos'!$N$5:$S$32,MATCH(180-$A85,'Desconto Processos'!$A$5:$A$32,0),MATCH(G$104,'Desconto Processos'!$N$3:$S$3,0))+INDEX('Acrescimo Tangente'!$B$68:$W$95,MATCH($A85,$A$10:$A$37,0),MATCH(G$104,$C$9:$X$9,0)))</f>
        <v>1.7</v>
      </c>
      <c r="H85" s="19">
        <f>2*(-1*INDEX('Desconto Processos'!$N$5:$S$32,MATCH(180-$A85,'Desconto Processos'!$A$5:$A$32,0),MATCH(H$104,'Desconto Processos'!$N$3:$S$3,0))+INDEX('Acrescimo Tangente'!$B$68:$W$95,MATCH($A85,$A$10:$A$37,0),MATCH(H$104,$C$9:$X$9,0)))</f>
        <v>1.8</v>
      </c>
      <c r="I85" s="17">
        <v>0</v>
      </c>
      <c r="J85" s="19">
        <f>2*(-1*INDEX('Desconto Processos'!$N$5:$S$32,MATCH(180-$A85,'Desconto Processos'!$A$5:$A$32,0),MATCH(J$104,'Desconto Processos'!$N$3:$S$3,0))+INDEX('Acrescimo Tangente'!$B$68:$W$95,MATCH($A85,$A$10:$A$37,0),MATCH(J$104,$C$9:$X$9,0)))</f>
        <v>2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9">
        <f>2*(-1*INDEX('Desconto Processos'!$N$5:$S$32,MATCH(180-$A85,'Desconto Processos'!$A$5:$A$32,0),MATCH(P$104,'Desconto Processos'!$N$3:$S$3,0))+INDEX('Acrescimo Tangente'!$B$68:$W$95,MATCH($A85,$A$10:$A$37,0),MATCH(P$104,$C$9:$X$9,0)))</f>
        <v>1.9</v>
      </c>
      <c r="Q85" s="17">
        <v>0</v>
      </c>
      <c r="R85" s="17">
        <v>0</v>
      </c>
      <c r="S85" s="17">
        <v>0</v>
      </c>
      <c r="T85" s="17">
        <v>0</v>
      </c>
      <c r="U85" s="19">
        <f>2*(-1*INDEX('Desconto Processos'!$N$5:$S$32,MATCH(180-$A85,'Desconto Processos'!$A$5:$A$32,0),MATCH(U$104,'Desconto Processos'!$N$3:$S$3,0))+INDEX('Acrescimo Tangente'!$B$68:$W$95,MATCH($A85,$A$10:$A$37,0),MATCH(U$104,$C$9:$X$9,0)))</f>
        <v>2.2000000000000002</v>
      </c>
      <c r="V85" s="19">
        <f>2*(-1*INDEX('Desconto Processos'!$N$5:$S$32,MATCH(180-$A85,'Desconto Processos'!$A$5:$A$32,0),MATCH(V$104,'Desconto Processos'!$N$3:$S$3,0))+INDEX('Acrescimo Tangente'!$B$68:$W$95,MATCH($A85,$A$10:$A$37,0),MATCH(V$104,$C$9:$X$9,0)))</f>
        <v>2.1</v>
      </c>
      <c r="W85" s="17">
        <v>0</v>
      </c>
      <c r="X85" s="17">
        <v>0</v>
      </c>
      <c r="Y85" s="17"/>
    </row>
    <row r="86" spans="1:25" s="6" customFormat="1" ht="15.75" x14ac:dyDescent="0.25">
      <c r="A86" s="11">
        <v>75</v>
      </c>
      <c r="B86" s="19">
        <v>1</v>
      </c>
      <c r="C86" s="17">
        <v>0</v>
      </c>
      <c r="D86" s="17">
        <v>0</v>
      </c>
      <c r="E86" s="17">
        <v>0</v>
      </c>
      <c r="F86" s="17">
        <v>0</v>
      </c>
      <c r="G86" s="19">
        <f>2*(-1*INDEX('Desconto Processos'!$N$5:$S$32,MATCH(180-$A86,'Desconto Processos'!$A$5:$A$32,0),MATCH(G$104,'Desconto Processos'!$N$3:$S$3,0))+INDEX('Acrescimo Tangente'!$B$68:$W$95,MATCH($A86,$A$10:$A$37,0),MATCH(G$104,$C$9:$X$9,0)))</f>
        <v>2</v>
      </c>
      <c r="H86" s="19">
        <f>2*(-1*INDEX('Desconto Processos'!$N$5:$S$32,MATCH(180-$A86,'Desconto Processos'!$A$5:$A$32,0),MATCH(H$104,'Desconto Processos'!$N$3:$S$3,0))+INDEX('Acrescimo Tangente'!$B$68:$W$95,MATCH($A86,$A$10:$A$37,0),MATCH(H$104,$C$9:$X$9,0)))</f>
        <v>2</v>
      </c>
      <c r="I86" s="17">
        <v>0</v>
      </c>
      <c r="J86" s="19">
        <f>2*(-1*INDEX('Desconto Processos'!$N$5:$S$32,MATCH(180-$A86,'Desconto Processos'!$A$5:$A$32,0),MATCH(J$104,'Desconto Processos'!$N$3:$S$3,0))+INDEX('Acrescimo Tangente'!$B$68:$W$95,MATCH($A86,$A$10:$A$37,0),MATCH(J$104,$C$9:$X$9,0)))</f>
        <v>2.2000000000000002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9">
        <f>2*(-1*INDEX('Desconto Processos'!$N$5:$S$32,MATCH(180-$A86,'Desconto Processos'!$A$5:$A$32,0),MATCH(P$104,'Desconto Processos'!$N$3:$S$3,0))+INDEX('Acrescimo Tangente'!$B$68:$W$95,MATCH($A86,$A$10:$A$37,0),MATCH(P$104,$C$9:$X$9,0)))</f>
        <v>2.4</v>
      </c>
      <c r="Q86" s="17">
        <v>0</v>
      </c>
      <c r="R86" s="17">
        <v>0</v>
      </c>
      <c r="S86" s="17">
        <v>0</v>
      </c>
      <c r="T86" s="17">
        <v>0</v>
      </c>
      <c r="U86" s="19">
        <f>2*(-1*INDEX('Desconto Processos'!$N$5:$S$32,MATCH(180-$A86,'Desconto Processos'!$A$5:$A$32,0),MATCH(U$104,'Desconto Processos'!$N$3:$S$3,0))+INDEX('Acrescimo Tangente'!$B$68:$W$95,MATCH($A86,$A$10:$A$37,0),MATCH(U$104,$C$9:$X$9,0)))</f>
        <v>2.6</v>
      </c>
      <c r="V86" s="19">
        <f>2*(-1*INDEX('Desconto Processos'!$N$5:$S$32,MATCH(180-$A86,'Desconto Processos'!$A$5:$A$32,0),MATCH(V$104,'Desconto Processos'!$N$3:$S$3,0))+INDEX('Acrescimo Tangente'!$B$68:$W$95,MATCH($A86,$A$10:$A$37,0),MATCH(V$104,$C$9:$X$9,0)))</f>
        <v>3</v>
      </c>
      <c r="W86" s="17">
        <v>0</v>
      </c>
      <c r="X86" s="17">
        <v>0</v>
      </c>
      <c r="Y86" s="17"/>
    </row>
    <row r="87" spans="1:25" s="6" customFormat="1" ht="15.75" x14ac:dyDescent="0.25">
      <c r="A87" s="11">
        <v>80</v>
      </c>
      <c r="B87" s="19">
        <v>1</v>
      </c>
      <c r="C87" s="17">
        <v>0</v>
      </c>
      <c r="D87" s="17">
        <v>0</v>
      </c>
      <c r="E87" s="17">
        <v>0</v>
      </c>
      <c r="F87" s="17">
        <v>0</v>
      </c>
      <c r="G87" s="19">
        <f>2*(-1*INDEX('Desconto Processos'!$N$5:$S$32,MATCH(180-$A87,'Desconto Processos'!$A$5:$A$32,0),MATCH(G$104,'Desconto Processos'!$N$3:$S$3,0))+INDEX('Acrescimo Tangente'!$B$68:$W$95,MATCH($A87,$A$10:$A$37,0),MATCH(G$104,$C$9:$X$9,0)))</f>
        <v>2.2000000000000002</v>
      </c>
      <c r="H87" s="19">
        <f>2*(-1*INDEX('Desconto Processos'!$N$5:$S$32,MATCH(180-$A87,'Desconto Processos'!$A$5:$A$32,0),MATCH(H$104,'Desconto Processos'!$N$3:$S$3,0))+INDEX('Acrescimo Tangente'!$B$68:$W$95,MATCH($A87,$A$10:$A$37,0),MATCH(H$104,$C$9:$X$9,0)))</f>
        <v>2.2999999999999998</v>
      </c>
      <c r="I87" s="17">
        <v>0</v>
      </c>
      <c r="J87" s="19">
        <f>2*(-1*INDEX('Desconto Processos'!$N$5:$S$32,MATCH(180-$A87,'Desconto Processos'!$A$5:$A$32,0),MATCH(J$104,'Desconto Processos'!$N$3:$S$3,0))+INDEX('Acrescimo Tangente'!$B$68:$W$95,MATCH($A87,$A$10:$A$37,0),MATCH(J$104,$C$9:$X$9,0)))</f>
        <v>2.4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9">
        <f>2*(-1*INDEX('Desconto Processos'!$N$5:$S$32,MATCH(180-$A87,'Desconto Processos'!$A$5:$A$32,0),MATCH(P$104,'Desconto Processos'!$N$3:$S$3,0))+INDEX('Acrescimo Tangente'!$B$68:$W$95,MATCH($A87,$A$10:$A$37,0),MATCH(P$104,$C$9:$X$9,0)))</f>
        <v>2.5</v>
      </c>
      <c r="Q87" s="17">
        <v>0</v>
      </c>
      <c r="R87" s="17">
        <v>0</v>
      </c>
      <c r="S87" s="17">
        <v>0</v>
      </c>
      <c r="T87" s="17">
        <v>0</v>
      </c>
      <c r="U87" s="19">
        <f>2*(-1*INDEX('Desconto Processos'!$N$5:$S$32,MATCH(180-$A87,'Desconto Processos'!$A$5:$A$32,0),MATCH(U$104,'Desconto Processos'!$N$3:$S$3,0))+INDEX('Acrescimo Tangente'!$B$68:$W$95,MATCH($A87,$A$10:$A$37,0),MATCH(U$104,$C$9:$X$9,0)))</f>
        <v>2.8</v>
      </c>
      <c r="V87" s="19">
        <f>2*(-1*INDEX('Desconto Processos'!$N$5:$S$32,MATCH(180-$A87,'Desconto Processos'!$A$5:$A$32,0),MATCH(V$104,'Desconto Processos'!$N$3:$S$3,0))+INDEX('Acrescimo Tangente'!$B$68:$W$95,MATCH($A87,$A$10:$A$37,0),MATCH(V$104,$C$9:$X$9,0)))</f>
        <v>3.2</v>
      </c>
      <c r="W87" s="17">
        <v>0</v>
      </c>
      <c r="X87" s="17">
        <v>0</v>
      </c>
      <c r="Y87" s="17"/>
    </row>
    <row r="88" spans="1:25" s="6" customFormat="1" ht="15.75" x14ac:dyDescent="0.25">
      <c r="A88" s="11">
        <v>85</v>
      </c>
      <c r="B88" s="19">
        <v>1</v>
      </c>
      <c r="C88" s="17">
        <v>0</v>
      </c>
      <c r="D88" s="17">
        <v>0</v>
      </c>
      <c r="E88" s="17">
        <v>0</v>
      </c>
      <c r="F88" s="17">
        <v>0</v>
      </c>
      <c r="G88" s="19">
        <f>2*(-1*INDEX('Desconto Processos'!$N$5:$S$32,MATCH(180-$A88,'Desconto Processos'!$A$5:$A$32,0),MATCH(G$104,'Desconto Processos'!$N$3:$S$3,0))+INDEX('Acrescimo Tangente'!$B$68:$W$95,MATCH($A88,$A$10:$A$37,0),MATCH(G$104,$C$9:$X$9,0)))</f>
        <v>2.4</v>
      </c>
      <c r="H88" s="19">
        <f>2*(-1*INDEX('Desconto Processos'!$N$5:$S$32,MATCH(180-$A88,'Desconto Processos'!$A$5:$A$32,0),MATCH(H$104,'Desconto Processos'!$N$3:$S$3,0))+INDEX('Acrescimo Tangente'!$B$68:$W$95,MATCH($A88,$A$10:$A$37,0),MATCH(H$104,$C$9:$X$9,0)))</f>
        <v>2.6</v>
      </c>
      <c r="I88" s="17">
        <v>0</v>
      </c>
      <c r="J88" s="19">
        <f>2*(-1*INDEX('Desconto Processos'!$N$5:$S$32,MATCH(180-$A88,'Desconto Processos'!$A$5:$A$32,0),MATCH(J$104,'Desconto Processos'!$N$3:$S$3,0))+INDEX('Acrescimo Tangente'!$B$68:$W$95,MATCH($A88,$A$10:$A$37,0),MATCH(J$104,$C$9:$X$9,0)))</f>
        <v>2.6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9">
        <f>2*(-1*INDEX('Desconto Processos'!$N$5:$S$32,MATCH(180-$A88,'Desconto Processos'!$A$5:$A$32,0),MATCH(P$104,'Desconto Processos'!$N$3:$S$3,0))+INDEX('Acrescimo Tangente'!$B$68:$W$95,MATCH($A88,$A$10:$A$37,0),MATCH(P$104,$C$9:$X$9,0)))</f>
        <v>2.9</v>
      </c>
      <c r="Q88" s="17">
        <v>0</v>
      </c>
      <c r="R88" s="17">
        <v>0</v>
      </c>
      <c r="S88" s="17">
        <v>0</v>
      </c>
      <c r="T88" s="17">
        <v>0</v>
      </c>
      <c r="U88" s="19">
        <f>2*(-1*INDEX('Desconto Processos'!$N$5:$S$32,MATCH(180-$A88,'Desconto Processos'!$A$5:$A$32,0),MATCH(U$104,'Desconto Processos'!$N$3:$S$3,0))+INDEX('Acrescimo Tangente'!$B$68:$W$95,MATCH($A88,$A$10:$A$37,0),MATCH(U$104,$C$9:$X$9,0)))</f>
        <v>3.2</v>
      </c>
      <c r="V88" s="19">
        <f>2*(-1*INDEX('Desconto Processos'!$N$5:$S$32,MATCH(180-$A88,'Desconto Processos'!$A$5:$A$32,0),MATCH(V$104,'Desconto Processos'!$N$3:$S$3,0))+INDEX('Acrescimo Tangente'!$B$68:$W$95,MATCH($A88,$A$10:$A$37,0),MATCH(V$104,$C$9:$X$9,0)))</f>
        <v>3.4</v>
      </c>
      <c r="W88" s="17">
        <v>0</v>
      </c>
      <c r="X88" s="17">
        <v>0</v>
      </c>
      <c r="Y88" s="17"/>
    </row>
    <row r="89" spans="1:25" s="6" customFormat="1" ht="15.75" x14ac:dyDescent="0.25">
      <c r="A89" s="20">
        <v>90</v>
      </c>
      <c r="B89" s="21">
        <v>1</v>
      </c>
      <c r="C89" s="21">
        <v>0</v>
      </c>
      <c r="D89" s="21">
        <v>0</v>
      </c>
      <c r="E89" s="21">
        <v>0</v>
      </c>
      <c r="F89" s="21">
        <v>0</v>
      </c>
      <c r="G89" s="21">
        <f>2*(-1*INDEX('Desconto Processos'!$N$5:$S$32,MATCH(180-$A89,'Desconto Processos'!$A$5:$A$32,0),MATCH(G$104,'Desconto Processos'!$N$3:$S$3,0))+INDEX('Acrescimo Tangente'!$B$68:$W$95,MATCH($A89,$A$10:$A$37,0),MATCH(G$104,$C$9:$X$9,0)))</f>
        <v>2.8</v>
      </c>
      <c r="H89" s="21">
        <f>2*(-1*INDEX('Desconto Processos'!$N$5:$S$32,MATCH(180-$A89,'Desconto Processos'!$A$5:$A$32,0),MATCH(H$104,'Desconto Processos'!$N$3:$S$3,0))+INDEX('Acrescimo Tangente'!$B$68:$W$95,MATCH($A89,$A$10:$A$37,0),MATCH(H$104,$C$9:$X$9,0)))</f>
        <v>2.9</v>
      </c>
      <c r="I89" s="21">
        <v>0</v>
      </c>
      <c r="J89" s="21">
        <f>2*(-1*INDEX('Desconto Processos'!$N$5:$S$32,MATCH(180-$A89,'Desconto Processos'!$A$5:$A$32,0),MATCH(J$104,'Desconto Processos'!$N$3:$S$3,0))+INDEX('Acrescimo Tangente'!$B$68:$W$95,MATCH($A89,$A$10:$A$37,0),MATCH(J$104,$C$9:$X$9,0)))</f>
        <v>3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f>2*(-1*INDEX('Desconto Processos'!$N$5:$S$32,MATCH(180-$A89,'Desconto Processos'!$A$5:$A$32,0),MATCH(P$104,'Desconto Processos'!$N$3:$S$3,0))+INDEX('Acrescimo Tangente'!$B$68:$W$95,MATCH($A89,$A$10:$A$37,0),MATCH(P$104,$C$9:$X$9,0)))</f>
        <v>3.4</v>
      </c>
      <c r="Q89" s="21">
        <v>0</v>
      </c>
      <c r="R89" s="21">
        <v>0</v>
      </c>
      <c r="S89" s="21">
        <v>0</v>
      </c>
      <c r="T89" s="21">
        <v>0</v>
      </c>
      <c r="U89" s="21">
        <f>2*(-1*INDEX('Desconto Processos'!$N$5:$S$32,MATCH(180-$A89,'Desconto Processos'!$A$5:$A$32,0),MATCH(U$104,'Desconto Processos'!$N$3:$S$3,0))+INDEX('Acrescimo Tangente'!$B$68:$W$95,MATCH($A89,$A$10:$A$37,0),MATCH(U$104,$C$9:$X$9,0)))</f>
        <v>3.7</v>
      </c>
      <c r="V89" s="21">
        <f>2*(-1*INDEX('Desconto Processos'!$N$5:$S$32,MATCH(180-$A89,'Desconto Processos'!$A$5:$A$32,0),MATCH(V$104,'Desconto Processos'!$N$3:$S$3,0))+INDEX('Acrescimo Tangente'!$B$68:$W$95,MATCH($A89,$A$10:$A$37,0),MATCH(V$104,$C$9:$X$9,0)))</f>
        <v>3.8</v>
      </c>
      <c r="W89" s="21">
        <v>0</v>
      </c>
      <c r="X89" s="21">
        <v>0</v>
      </c>
      <c r="Y89" s="17"/>
    </row>
    <row r="90" spans="1:25" s="6" customFormat="1" ht="15.75" x14ac:dyDescent="0.25">
      <c r="A90" s="11">
        <v>95</v>
      </c>
      <c r="B90" s="19">
        <v>1</v>
      </c>
      <c r="C90" s="17">
        <v>0</v>
      </c>
      <c r="D90" s="17">
        <v>0</v>
      </c>
      <c r="E90" s="17">
        <v>0</v>
      </c>
      <c r="F90" s="17">
        <v>0</v>
      </c>
      <c r="G90" s="19">
        <f>2*(-1*INDEX('Desconto Processos'!$N$5:$S$32,MATCH(180-$A90,'Desconto Processos'!$A$5:$A$32,0),MATCH(G$104,'Desconto Processos'!$N$3:$S$3,0))+INDEX('Acrescimo Tangente'!$B$68:$W$95,MATCH($A90,$A$10:$A$37,0),MATCH(G$104,$C$9:$X$9,0)))</f>
        <v>3.2295893062017744</v>
      </c>
      <c r="H90" s="19">
        <f>2*(-1*INDEX('Desconto Processos'!$N$5:$S$32,MATCH(180-$A90,'Desconto Processos'!$A$5:$A$32,0),MATCH(H$104,'Desconto Processos'!$N$3:$S$3,0))+INDEX('Acrescimo Tangente'!$B$68:$W$95,MATCH($A90,$A$10:$A$37,0),MATCH(H$104,$C$9:$X$9,0)))</f>
        <v>3.2661127066294831</v>
      </c>
      <c r="I90" s="17">
        <v>0</v>
      </c>
      <c r="J90" s="19">
        <f>2*(-1*INDEX('Desconto Processos'!$N$5:$S$32,MATCH(180-$A90,'Desconto Processos'!$A$5:$A$32,0),MATCH(J$104,'Desconto Processos'!$N$3:$S$3,0))+INDEX('Acrescimo Tangente'!$B$68:$W$95,MATCH($A90,$A$10:$A$37,0),MATCH(J$104,$C$9:$X$9,0)))</f>
        <v>3.4208978072710456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9">
        <f>2*(-1*INDEX('Desconto Processos'!$N$5:$S$32,MATCH(180-$A90,'Desconto Processos'!$A$5:$A$32,0),MATCH(P$104,'Desconto Processos'!$N$3:$S$3,0))+INDEX('Acrescimo Tangente'!$B$68:$W$95,MATCH($A90,$A$10:$A$37,0),MATCH(P$104,$C$9:$X$9,0)))</f>
        <v>3.8217765096234428</v>
      </c>
      <c r="Q90" s="17">
        <v>0</v>
      </c>
      <c r="R90" s="17">
        <v>0</v>
      </c>
      <c r="S90" s="17">
        <v>0</v>
      </c>
      <c r="T90" s="17">
        <v>0</v>
      </c>
      <c r="U90" s="19">
        <f>2*(-1*INDEX('Desconto Processos'!$N$5:$S$32,MATCH(180-$A90,'Desconto Processos'!$A$5:$A$32,0),MATCH(U$104,'Desconto Processos'!$N$3:$S$3,0))+INDEX('Acrescimo Tangente'!$B$68:$W$95,MATCH($A90,$A$10:$A$37,0),MATCH(U$104,$C$9:$X$9,0)))</f>
        <v>4.2861318115481311</v>
      </c>
      <c r="V90" s="19">
        <f>2*(-1*INDEX('Desconto Processos'!$N$5:$S$32,MATCH(180-$A90,'Desconto Processos'!$A$5:$A$32,0),MATCH(V$104,'Desconto Processos'!$N$3:$S$3,0))+INDEX('Acrescimo Tangente'!$B$68:$W$95,MATCH($A90,$A$10:$A$37,0),MATCH(V$104,$C$9:$X$9,0)))</f>
        <v>4.459178612403548</v>
      </c>
      <c r="W90" s="17">
        <v>0</v>
      </c>
      <c r="X90" s="17">
        <v>0</v>
      </c>
      <c r="Y90" s="17"/>
    </row>
    <row r="91" spans="1:25" s="6" customFormat="1" ht="15.75" x14ac:dyDescent="0.25">
      <c r="A91" s="11">
        <v>100</v>
      </c>
      <c r="B91" s="19">
        <v>1</v>
      </c>
      <c r="C91" s="17">
        <v>0</v>
      </c>
      <c r="D91" s="17">
        <v>0</v>
      </c>
      <c r="E91" s="17">
        <v>0</v>
      </c>
      <c r="F91" s="17">
        <v>0</v>
      </c>
      <c r="G91" s="19">
        <f>2*(-1*INDEX('Desconto Processos'!$N$5:$S$32,MATCH(180-$A91,'Desconto Processos'!$A$5:$A$32,0),MATCH(G$104,'Desconto Processos'!$N$3:$S$3,0))+INDEX('Acrescimo Tangente'!$B$68:$W$95,MATCH($A91,$A$10:$A$37,0),MATCH(G$104,$C$9:$X$9,0)))</f>
        <v>3.6121708370464187</v>
      </c>
      <c r="H91" s="19">
        <f>2*(-1*INDEX('Desconto Processos'!$N$5:$S$32,MATCH(180-$A91,'Desconto Processos'!$A$5:$A$32,0),MATCH(H$104,'Desconto Processos'!$N$3:$S$3,0))+INDEX('Acrescimo Tangente'!$B$68:$W$95,MATCH($A91,$A$10:$A$37,0),MATCH(H$104,$C$9:$X$9,0)))</f>
        <v>3.7888722740841025</v>
      </c>
      <c r="I91" s="17">
        <v>0</v>
      </c>
      <c r="J91" s="19">
        <f>2*(-1*INDEX('Desconto Processos'!$N$5:$S$32,MATCH(180-$A91,'Desconto Processos'!$A$5:$A$32,0),MATCH(J$104,'Desconto Processos'!$N$3:$S$3,0))+INDEX('Acrescimo Tangente'!$B$68:$W$95,MATCH($A91,$A$10:$A$37,0),MATCH(J$104,$C$9:$X$9,0)))</f>
        <v>3.9039244296406288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9">
        <f>2*(-1*INDEX('Desconto Processos'!$N$5:$S$32,MATCH(180-$A91,'Desconto Processos'!$A$5:$A$32,0),MATCH(P$104,'Desconto Processos'!$N$3:$S$3,0))+INDEX('Acrescimo Tangente'!$B$68:$W$95,MATCH($A91,$A$10:$A$37,0),MATCH(P$104,$C$9:$X$9,0)))</f>
        <v>4.4257823333478914</v>
      </c>
      <c r="Q91" s="17">
        <v>0</v>
      </c>
      <c r="R91" s="17">
        <v>0</v>
      </c>
      <c r="S91" s="17">
        <v>0</v>
      </c>
      <c r="T91" s="17">
        <v>0</v>
      </c>
      <c r="U91" s="19">
        <f>2*(-1*INDEX('Desconto Processos'!$N$5:$S$32,MATCH(180-$A91,'Desconto Processos'!$A$5:$A$32,0),MATCH(U$104,'Desconto Processos'!$N$3:$S$3,0))+INDEX('Acrescimo Tangente'!$B$68:$W$95,MATCH($A91,$A$10:$A$37,0),MATCH(U$104,$C$9:$X$9,0)))</f>
        <v>4.9709388000174695</v>
      </c>
      <c r="V91" s="19">
        <f>2*(-1*INDEX('Desconto Processos'!$N$5:$S$32,MATCH(180-$A91,'Desconto Processos'!$A$5:$A$32,0),MATCH(V$104,'Desconto Processos'!$N$3:$S$3,0))+INDEX('Acrescimo Tangente'!$B$68:$W$95,MATCH($A91,$A$10:$A$37,0),MATCH(V$104,$C$9:$X$9,0)))</f>
        <v>5.2243416740928375</v>
      </c>
      <c r="W91" s="17">
        <v>0</v>
      </c>
      <c r="X91" s="17">
        <v>0</v>
      </c>
      <c r="Y91" s="17"/>
    </row>
    <row r="92" spans="1:25" s="6" customFormat="1" ht="15.75" x14ac:dyDescent="0.25">
      <c r="A92" s="11">
        <v>105</v>
      </c>
      <c r="B92" s="19">
        <v>1</v>
      </c>
      <c r="C92" s="17">
        <v>0</v>
      </c>
      <c r="D92" s="17">
        <v>0</v>
      </c>
      <c r="E92" s="17">
        <v>0</v>
      </c>
      <c r="F92" s="17">
        <v>0</v>
      </c>
      <c r="G92" s="19">
        <f>2*(-1*INDEX('Desconto Processos'!$N$5:$S$32,MATCH(180-$A92,'Desconto Processos'!$A$5:$A$32,0),MATCH(G$104,'Desconto Processos'!$N$3:$S$3,0))+INDEX('Acrescimo Tangente'!$B$68:$W$95,MATCH($A92,$A$10:$A$37,0),MATCH(G$104,$C$9:$X$9,0)))</f>
        <v>4.1587071624789935</v>
      </c>
      <c r="H92" s="19">
        <f>2*(-1*INDEX('Desconto Processos'!$N$5:$S$32,MATCH(180-$A92,'Desconto Processos'!$A$5:$A$32,0),MATCH(H$104,'Desconto Processos'!$N$3:$S$3,0))+INDEX('Acrescimo Tangente'!$B$68:$W$95,MATCH($A92,$A$10:$A$37,0),MATCH(H$104,$C$9:$X$9,0)))</f>
        <v>4.2799973116154755</v>
      </c>
      <c r="I92" s="17">
        <v>0</v>
      </c>
      <c r="J92" s="19">
        <f>2*(-1*INDEX('Desconto Processos'!$N$5:$S$32,MATCH(180-$A92,'Desconto Processos'!$A$5:$A$32,0),MATCH(J$104,'Desconto Processos'!$N$3:$S$3,0))+INDEX('Acrescimo Tangente'!$B$68:$W$95,MATCH($A92,$A$10:$A$37,0),MATCH(J$104,$C$9:$X$9,0)))</f>
        <v>4.4619325353201988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9">
        <f>2*(-1*INDEX('Desconto Processos'!$N$5:$S$32,MATCH(180-$A92,'Desconto Processos'!$A$5:$A$32,0),MATCH(P$104,'Desconto Processos'!$N$3:$S$3,0))+INDEX('Acrescimo Tangente'!$B$68:$W$95,MATCH($A92,$A$10:$A$37,0),MATCH(P$104,$C$9:$X$9,0)))</f>
        <v>5.1290283555708509</v>
      </c>
      <c r="Q92" s="17">
        <v>0</v>
      </c>
      <c r="R92" s="17">
        <v>0</v>
      </c>
      <c r="S92" s="17">
        <v>0</v>
      </c>
      <c r="T92" s="17">
        <v>0</v>
      </c>
      <c r="U92" s="19">
        <f>2*(-1*INDEX('Desconto Processos'!$N$5:$S$32,MATCH(180-$A92,'Desconto Processos'!$A$5:$A$32,0),MATCH(U$104,'Desconto Processos'!$N$3:$S$3,0))+INDEX('Acrescimo Tangente'!$B$68:$W$95,MATCH($A92,$A$10:$A$37,0),MATCH(U$104,$C$9:$X$9,0)))</f>
        <v>5.7748340266850215</v>
      </c>
      <c r="V92" s="19">
        <f>2*(-1*INDEX('Desconto Processos'!$N$5:$S$32,MATCH(180-$A92,'Desconto Processos'!$A$5:$A$32,0),MATCH(V$104,'Desconto Processos'!$N$3:$S$3,0))+INDEX('Acrescimo Tangente'!$B$68:$W$95,MATCH($A92,$A$10:$A$37,0),MATCH(V$104,$C$9:$X$9,0)))</f>
        <v>6.117414324957986</v>
      </c>
      <c r="W92" s="17">
        <v>0</v>
      </c>
      <c r="X92" s="17">
        <v>0</v>
      </c>
      <c r="Y92" s="17"/>
    </row>
    <row r="93" spans="1:25" s="6" customFormat="1" ht="15.75" x14ac:dyDescent="0.25">
      <c r="A93" s="11">
        <v>110</v>
      </c>
      <c r="B93" s="19">
        <v>1</v>
      </c>
      <c r="C93" s="17">
        <v>0</v>
      </c>
      <c r="D93" s="17">
        <v>0</v>
      </c>
      <c r="E93" s="17">
        <v>0</v>
      </c>
      <c r="F93" s="17">
        <v>0</v>
      </c>
      <c r="G93" s="19">
        <f>2*(-1*INDEX('Desconto Processos'!$N$5:$S$32,MATCH(180-$A93,'Desconto Processos'!$A$5:$A$32,0),MATCH(G$104,'Desconto Processos'!$N$3:$S$3,0))+INDEX('Acrescimo Tangente'!$B$68:$W$95,MATCH($A93,$A$10:$A$37,0),MATCH(G$104,$C$9:$X$9,0)))</f>
        <v>4.6832584391042644</v>
      </c>
      <c r="H93" s="19">
        <f>2*(-1*INDEX('Desconto Processos'!$N$5:$S$32,MATCH(180-$A93,'Desconto Processos'!$A$5:$A$32,0),MATCH(H$104,'Desconto Processos'!$N$3:$S$3,0))+INDEX('Acrescimo Tangente'!$B$68:$W$95,MATCH($A93,$A$10:$A$37,0),MATCH(H$104,$C$9:$X$9,0)))</f>
        <v>4.8545176418011113</v>
      </c>
      <c r="I93" s="17">
        <v>0</v>
      </c>
      <c r="J93" s="19">
        <f>2*(-1*INDEX('Desconto Processos'!$N$5:$S$32,MATCH(180-$A93,'Desconto Processos'!$A$5:$A$32,0),MATCH(J$104,'Desconto Processos'!$N$3:$S$3,0))+INDEX('Acrescimo Tangente'!$B$68:$W$95,MATCH($A93,$A$10:$A$37,0),MATCH(J$104,$C$9:$X$9,0)))</f>
        <v>5.1114064458463799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9">
        <f>2*(-1*INDEX('Desconto Processos'!$N$5:$S$32,MATCH(180-$A93,'Desconto Processos'!$A$5:$A$32,0),MATCH(P$104,'Desconto Processos'!$N$3:$S$3,0))+INDEX('Acrescimo Tangente'!$B$68:$W$95,MATCH($A93,$A$10:$A$37,0),MATCH(P$104,$C$9:$X$9,0)))</f>
        <v>5.9533320606790321</v>
      </c>
      <c r="Q93" s="17">
        <v>0</v>
      </c>
      <c r="R93" s="17">
        <v>0</v>
      </c>
      <c r="S93" s="17">
        <v>0</v>
      </c>
      <c r="T93" s="17">
        <v>0</v>
      </c>
      <c r="U93" s="19">
        <f>2*(-1*INDEX('Desconto Processos'!$N$5:$S$32,MATCH(180-$A93,'Desconto Processos'!$A$5:$A$32,0),MATCH(U$104,'Desconto Processos'!$N$3:$S$3,0))+INDEX('Acrescimo Tangente'!$B$68:$W$95,MATCH($A93,$A$10:$A$37,0),MATCH(U$104,$C$9:$X$9,0)))</f>
        <v>6.7239984728148379</v>
      </c>
      <c r="V93" s="19">
        <f>2*(-1*INDEX('Desconto Processos'!$N$5:$S$32,MATCH(180-$A93,'Desconto Processos'!$A$5:$A$32,0),MATCH(V$104,'Desconto Processos'!$N$3:$S$3,0))+INDEX('Acrescimo Tangente'!$B$68:$W$95,MATCH($A93,$A$10:$A$37,0),MATCH(V$104,$C$9:$X$9,0)))</f>
        <v>7.0665168782085299</v>
      </c>
      <c r="W93" s="17">
        <v>0</v>
      </c>
      <c r="X93" s="17">
        <v>0</v>
      </c>
      <c r="Y93" s="17"/>
    </row>
    <row r="94" spans="1:25" s="6" customFormat="1" ht="15.75" x14ac:dyDescent="0.25">
      <c r="A94" s="11">
        <v>115</v>
      </c>
      <c r="B94" s="19">
        <v>1</v>
      </c>
      <c r="C94" s="17">
        <v>0</v>
      </c>
      <c r="D94" s="17">
        <v>0</v>
      </c>
      <c r="E94" s="17">
        <v>0</v>
      </c>
      <c r="F94" s="17">
        <v>0</v>
      </c>
      <c r="G94" s="19">
        <f>2*(-1*INDEX('Desconto Processos'!$N$5:$S$32,MATCH(180-$A94,'Desconto Processos'!$A$5:$A$32,0),MATCH(G$104,'Desconto Processos'!$N$3:$S$3,0))+INDEX('Acrescimo Tangente'!$B$68:$W$95,MATCH($A94,$A$10:$A$37,0),MATCH(G$104,$C$9:$X$9,0)))</f>
        <v>5.3041763472814436</v>
      </c>
      <c r="H94" s="19">
        <f>2*(-1*INDEX('Desconto Processos'!$N$5:$S$32,MATCH(180-$A94,'Desconto Processos'!$A$5:$A$32,0),MATCH(H$104,'Desconto Processos'!$N$3:$S$3,0))+INDEX('Acrescimo Tangente'!$B$68:$W$95,MATCH($A94,$A$10:$A$37,0),MATCH(H$104,$C$9:$X$9,0)))</f>
        <v>5.5320505781284401</v>
      </c>
      <c r="I94" s="17">
        <v>0</v>
      </c>
      <c r="J94" s="19">
        <f>2*(-1*INDEX('Desconto Processos'!$N$5:$S$32,MATCH(180-$A94,'Desconto Processos'!$A$5:$A$32,0),MATCH(J$104,'Desconto Processos'!$N$3:$S$3,0))+INDEX('Acrescimo Tangente'!$B$68:$W$95,MATCH($A94,$A$10:$A$37,0),MATCH(J$104,$C$9:$X$9,0)))</f>
        <v>5.7738619243989344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9">
        <f>2*(-1*INDEX('Desconto Processos'!$N$5:$S$32,MATCH(180-$A94,'Desconto Processos'!$A$5:$A$32,0),MATCH(P$104,'Desconto Processos'!$N$3:$S$3,0))+INDEX('Acrescimo Tangente'!$B$68:$W$95,MATCH($A94,$A$10:$A$37,0),MATCH(P$104,$C$9:$X$9,0)))</f>
        <v>6.9271701940574122</v>
      </c>
      <c r="Q94" s="17">
        <v>0</v>
      </c>
      <c r="R94" s="17">
        <v>0</v>
      </c>
      <c r="S94" s="17">
        <v>0</v>
      </c>
      <c r="T94" s="17">
        <v>0</v>
      </c>
      <c r="U94" s="19">
        <f>2*(-1*INDEX('Desconto Processos'!$N$5:$S$32,MATCH(180-$A94,'Desconto Processos'!$A$5:$A$32,0),MATCH(U$104,'Desconto Processos'!$N$3:$S$3,0))+INDEX('Acrescimo Tangente'!$B$68:$W$95,MATCH($A94,$A$10:$A$37,0),MATCH(U$104,$C$9:$X$9,0)))</f>
        <v>7.8526042328688961</v>
      </c>
      <c r="V94" s="19">
        <f>2*(-1*INDEX('Desconto Processos'!$N$5:$S$32,MATCH(180-$A94,'Desconto Processos'!$A$5:$A$32,0),MATCH(V$104,'Desconto Processos'!$N$3:$S$3,0))+INDEX('Acrescimo Tangente'!$B$68:$W$95,MATCH($A94,$A$10:$A$37,0),MATCH(V$104,$C$9:$X$9,0)))</f>
        <v>8.3083526945628865</v>
      </c>
      <c r="W94" s="17">
        <v>0</v>
      </c>
      <c r="X94" s="17">
        <v>0</v>
      </c>
      <c r="Y94" s="17"/>
    </row>
    <row r="95" spans="1:25" s="6" customFormat="1" ht="15.75" x14ac:dyDescent="0.25">
      <c r="A95" s="11">
        <v>120</v>
      </c>
      <c r="B95" s="19">
        <v>1</v>
      </c>
      <c r="C95" s="17">
        <v>0</v>
      </c>
      <c r="D95" s="17">
        <v>0</v>
      </c>
      <c r="E95" s="17">
        <v>0</v>
      </c>
      <c r="F95" s="17">
        <v>0</v>
      </c>
      <c r="G95" s="19">
        <f>2*(-1*INDEX('Desconto Processos'!$N$5:$S$32,MATCH(180-$A95,'Desconto Processos'!$A$5:$A$32,0),MATCH(G$104,'Desconto Processos'!$N$3:$S$3,0))+INDEX('Acrescimo Tangente'!$B$68:$W$95,MATCH($A95,$A$10:$A$37,0),MATCH(G$104,$C$9:$X$9,0)))</f>
        <v>6.1458946838994883</v>
      </c>
      <c r="H95" s="19">
        <f>2*(-1*INDEX('Desconto Processos'!$N$5:$S$32,MATCH(180-$A95,'Desconto Processos'!$A$5:$A$32,0),MATCH(H$104,'Desconto Processos'!$N$3:$S$3,0))+INDEX('Acrescimo Tangente'!$B$68:$W$95,MATCH($A95,$A$10:$A$37,0),MATCH(H$104,$C$9:$X$9,0)))</f>
        <v>6.3387150069270399</v>
      </c>
      <c r="I95" s="17">
        <v>0</v>
      </c>
      <c r="J95" s="19">
        <f>2*(-1*INDEX('Desconto Processos'!$N$5:$S$32,MATCH(180-$A95,'Desconto Processos'!$A$5:$A$32,0),MATCH(J$104,'Desconto Processos'!$N$3:$S$3,0))+INDEX('Acrescimo Tangente'!$B$68:$W$95,MATCH($A95,$A$10:$A$37,0),MATCH(J$104,$C$9:$X$9,0)))</f>
        <v>6.6779454914683667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9">
        <f>2*(-1*INDEX('Desconto Processos'!$N$5:$S$32,MATCH(180-$A95,'Desconto Processos'!$A$5:$A$32,0),MATCH(P$104,'Desconto Processos'!$N$3:$S$3,0))+INDEX('Acrescimo Tangente'!$B$68:$W$95,MATCH($A95,$A$10:$A$37,0),MATCH(P$104,$C$9:$X$9,0)))</f>
        <v>8.0884572681198961</v>
      </c>
      <c r="Q95" s="17">
        <v>0</v>
      </c>
      <c r="R95" s="17">
        <v>0</v>
      </c>
      <c r="S95" s="17">
        <v>0</v>
      </c>
      <c r="T95" s="17">
        <v>0</v>
      </c>
      <c r="U95" s="19">
        <f>2*(-1*INDEX('Desconto Processos'!$N$5:$S$32,MATCH(180-$A95,'Desconto Processos'!$A$5:$A$32,0),MATCH(U$104,'Desconto Processos'!$N$3:$S$3,0))+INDEX('Acrescimo Tangente'!$B$68:$W$95,MATCH($A95,$A$10:$A$37,0),MATCH(U$104,$C$9:$X$9,0)))</f>
        <v>9.2061487217438778</v>
      </c>
      <c r="V95" s="19">
        <f>2*(-1*INDEX('Desconto Processos'!$N$5:$S$32,MATCH(180-$A95,'Desconto Processos'!$A$5:$A$32,0),MATCH(V$104,'Desconto Processos'!$N$3:$S$3,0))+INDEX('Acrescimo Tangente'!$B$68:$W$95,MATCH($A95,$A$10:$A$37,0),MATCH(V$104,$C$9:$X$9,0)))</f>
        <v>9.8917893677989781</v>
      </c>
      <c r="W95" s="17">
        <v>0</v>
      </c>
      <c r="X95" s="17">
        <v>0</v>
      </c>
      <c r="Y95" s="17"/>
    </row>
    <row r="96" spans="1:25" s="6" customFormat="1" ht="15.75" x14ac:dyDescent="0.25">
      <c r="A96" s="11">
        <v>125</v>
      </c>
      <c r="B96" s="19">
        <v>1</v>
      </c>
      <c r="C96" s="17">
        <v>0</v>
      </c>
      <c r="D96" s="17">
        <v>0</v>
      </c>
      <c r="E96" s="17">
        <v>0</v>
      </c>
      <c r="F96" s="17">
        <v>0</v>
      </c>
      <c r="G96" s="19">
        <f>2*(-1*INDEX('Desconto Processos'!$N$5:$S$32,MATCH(180-$A96,'Desconto Processos'!$A$5:$A$32,0),MATCH(G$104,'Desconto Processos'!$N$3:$S$3,0))+INDEX('Acrescimo Tangente'!$B$68:$W$95,MATCH($A96,$A$10:$A$37,0),MATCH(G$104,$C$9:$X$9,0)))</f>
        <v>7.0416963364327634</v>
      </c>
      <c r="H96" s="19">
        <f>2*(-1*INDEX('Desconto Processos'!$N$5:$S$32,MATCH(180-$A96,'Desconto Processos'!$A$5:$A$32,0),MATCH(H$104,'Desconto Processos'!$N$3:$S$3,0))+INDEX('Acrescimo Tangente'!$B$68:$W$95,MATCH($A96,$A$10:$A$37,0),MATCH(H$104,$C$9:$X$9,0)))</f>
        <v>7.3100891872212301</v>
      </c>
      <c r="I96" s="17">
        <v>0</v>
      </c>
      <c r="J96" s="19">
        <f>2*(-1*INDEX('Desconto Processos'!$N$5:$S$32,MATCH(180-$A96,'Desconto Processos'!$A$5:$A$32,0),MATCH(J$104,'Desconto Processos'!$N$3:$S$3,0))+INDEX('Acrescimo Tangente'!$B$68:$W$95,MATCH($A96,$A$10:$A$37,0),MATCH(J$104,$C$9:$X$9,0)))</f>
        <v>7.7626784634039288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9">
        <f>2*(-1*INDEX('Desconto Processos'!$N$5:$S$32,MATCH(180-$A96,'Desconto Processos'!$A$5:$A$32,0),MATCH(P$104,'Desconto Processos'!$N$3:$S$3,0))+INDEX('Acrescimo Tangente'!$B$68:$W$95,MATCH($A96,$A$10:$A$37,0),MATCH(P$104,$C$9:$X$9,0)))</f>
        <v>9.4888391427404937</v>
      </c>
      <c r="Q96" s="17">
        <v>0</v>
      </c>
      <c r="R96" s="17">
        <v>0</v>
      </c>
      <c r="S96" s="17">
        <v>0</v>
      </c>
      <c r="T96" s="17">
        <v>0</v>
      </c>
      <c r="U96" s="19">
        <f>2*(-1*INDEX('Desconto Processos'!$N$5:$S$32,MATCH(180-$A96,'Desconto Processos'!$A$5:$A$32,0),MATCH(U$104,'Desconto Processos'!$N$3:$S$3,0))+INDEX('Acrescimo Tangente'!$B$68:$W$95,MATCH($A96,$A$10:$A$37,0),MATCH(U$104,$C$9:$X$9,0)))</f>
        <v>11.146606971288593</v>
      </c>
      <c r="V96" s="19">
        <f>2*(-1*INDEX('Desconto Processos'!$N$5:$S$32,MATCH(180-$A96,'Desconto Processos'!$A$5:$A$32,0),MATCH(V$104,'Desconto Processos'!$N$3:$S$3,0))+INDEX('Acrescimo Tangente'!$B$68:$W$95,MATCH($A96,$A$10:$A$37,0),MATCH(V$104,$C$9:$X$9,0)))</f>
        <v>11.883392672865526</v>
      </c>
      <c r="W96" s="17">
        <v>0</v>
      </c>
      <c r="X96" s="17">
        <v>0</v>
      </c>
      <c r="Y96" s="17"/>
    </row>
    <row r="97" spans="1:37" s="6" customFormat="1" ht="15.75" x14ac:dyDescent="0.25">
      <c r="A97" s="11">
        <v>130</v>
      </c>
      <c r="B97" s="19">
        <v>1</v>
      </c>
      <c r="C97" s="17">
        <v>0</v>
      </c>
      <c r="D97" s="17">
        <v>0</v>
      </c>
      <c r="E97" s="17">
        <v>0</v>
      </c>
      <c r="F97" s="17">
        <v>0</v>
      </c>
      <c r="G97" s="19">
        <f>2*(-1*INDEX('Desconto Processos'!$N$5:$S$32,MATCH(180-$A97,'Desconto Processos'!$A$5:$A$32,0),MATCH(G$104,'Desconto Processos'!$N$3:$S$3,0))+INDEX('Acrescimo Tangente'!$B$68:$W$95,MATCH($A97,$A$10:$A$37,0),MATCH(G$104,$C$9:$X$9,0)))</f>
        <v>8.1381401389554409</v>
      </c>
      <c r="H97" s="19">
        <f>2*(-1*INDEX('Desconto Processos'!$N$5:$S$32,MATCH(180-$A97,'Desconto Processos'!$A$5:$A$32,0),MATCH(H$104,'Desconto Processos'!$N$3:$S$3,0))+INDEX('Acrescimo Tangente'!$B$68:$W$95,MATCH($A97,$A$10:$A$37,0),MATCH(H$104,$C$9:$X$9,0)))</f>
        <v>8.4959429071592645</v>
      </c>
      <c r="I97" s="17">
        <v>0</v>
      </c>
      <c r="J97" s="19">
        <f>2*(-1*INDEX('Desconto Processos'!$N$5:$S$32,MATCH(180-$A97,'Desconto Processos'!$A$5:$A$32,0),MATCH(J$104,'Desconto Processos'!$N$3:$S$3,0))+INDEX('Acrescimo Tangente'!$B$68:$W$95,MATCH($A97,$A$10:$A$37,0),MATCH(J$104,$C$9:$X$9,0)))</f>
        <v>9.0826470594649997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9">
        <f>2*(-1*INDEX('Desconto Processos'!$N$5:$S$32,MATCH(180-$A97,'Desconto Processos'!$A$5:$A$32,0),MATCH(P$104,'Desconto Processos'!$N$3:$S$3,0))+INDEX('Acrescimo Tangente'!$B$68:$W$95,MATCH($A97,$A$10:$A$37,0),MATCH(P$104,$C$9:$X$9,0)))</f>
        <v>11.200562284586029</v>
      </c>
      <c r="Q97" s="17">
        <v>0</v>
      </c>
      <c r="R97" s="17">
        <v>0</v>
      </c>
      <c r="S97" s="17">
        <v>0</v>
      </c>
      <c r="T97" s="17">
        <v>0</v>
      </c>
      <c r="U97" s="19">
        <f>2*(-1*INDEX('Desconto Processos'!$N$5:$S$32,MATCH(180-$A97,'Desconto Processos'!$A$5:$A$32,0),MATCH(U$104,'Desconto Processos'!$N$3:$S$3,0))+INDEX('Acrescimo Tangente'!$B$68:$W$95,MATCH($A97,$A$10:$A$37,0),MATCH(U$104,$C$9:$X$9,0)))</f>
        <v>13.460674741503237</v>
      </c>
      <c r="V97" s="19">
        <f>2*(-1*INDEX('Desconto Processos'!$N$5:$S$32,MATCH(180-$A97,'Desconto Processos'!$A$5:$A$32,0),MATCH(V$104,'Desconto Processos'!$N$3:$S$3,0))+INDEX('Acrescimo Tangente'!$B$68:$W$95,MATCH($A97,$A$10:$A$37,0),MATCH(V$104,$C$9:$X$9,0)))</f>
        <v>14.276280277910882</v>
      </c>
      <c r="W97" s="17">
        <v>0</v>
      </c>
      <c r="X97" s="17">
        <v>0</v>
      </c>
      <c r="Y97" s="17"/>
    </row>
    <row r="98" spans="1:37" s="6" customFormat="1" ht="15.75" x14ac:dyDescent="0.25">
      <c r="A98" s="11">
        <v>135</v>
      </c>
      <c r="B98" s="19">
        <v>1</v>
      </c>
      <c r="C98" s="17">
        <v>0</v>
      </c>
      <c r="D98" s="17">
        <v>0</v>
      </c>
      <c r="E98" s="17">
        <v>0</v>
      </c>
      <c r="F98" s="17">
        <v>0</v>
      </c>
      <c r="G98" s="19">
        <f>2*(-1*INDEX('Desconto Processos'!$N$5:$S$32,MATCH(180-$A98,'Desconto Processos'!$A$5:$A$32,0),MATCH(G$104,'Desconto Processos'!$N$3:$S$3,0))+INDEX('Acrescimo Tangente'!$B$68:$W$95,MATCH($A98,$A$10:$A$37,0),MATCH(G$104,$C$9:$X$9,0)))</f>
        <v>9.6024386617639514</v>
      </c>
      <c r="H98" s="19">
        <f>2*(-1*INDEX('Desconto Processos'!$N$5:$S$32,MATCH(180-$A98,'Desconto Processos'!$A$5:$A$32,0),MATCH(H$104,'Desconto Processos'!$N$3:$S$3,0))+INDEX('Acrescimo Tangente'!$B$68:$W$95,MATCH($A98,$A$10:$A$37,0),MATCH(H$104,$C$9:$X$9,0)))</f>
        <v>9.9681240867131891</v>
      </c>
      <c r="I98" s="17">
        <v>0</v>
      </c>
      <c r="J98" s="19">
        <f>2*(-1*INDEX('Desconto Processos'!$N$5:$S$32,MATCH(180-$A98,'Desconto Processos'!$A$5:$A$32,0),MATCH(J$104,'Desconto Processos'!$N$3:$S$3,0))+INDEX('Acrescimo Tangente'!$B$68:$W$95,MATCH($A98,$A$10:$A$37,0),MATCH(J$104,$C$9:$X$9,0)))</f>
        <v>10.716652224137047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9">
        <f>2*(-1*INDEX('Desconto Processos'!$N$5:$S$32,MATCH(180-$A98,'Desconto Processos'!$A$5:$A$32,0),MATCH(P$104,'Desconto Processos'!$N$3:$S$3,0))+INDEX('Acrescimo Tangente'!$B$68:$W$95,MATCH($A98,$A$10:$A$37,0),MATCH(P$104,$C$9:$X$9,0)))</f>
        <v>13.327922061357857</v>
      </c>
      <c r="Q98" s="17">
        <v>0</v>
      </c>
      <c r="R98" s="17">
        <v>0</v>
      </c>
      <c r="S98" s="17">
        <v>0</v>
      </c>
      <c r="T98" s="17">
        <v>0</v>
      </c>
      <c r="U98" s="19">
        <f>2*(-1*INDEX('Desconto Processos'!$N$5:$S$32,MATCH(180-$A98,'Desconto Processos'!$A$5:$A$32,0),MATCH(U$104,'Desconto Processos'!$N$3:$S$3,0))+INDEX('Acrescimo Tangente'!$B$68:$W$95,MATCH($A98,$A$10:$A$37,0),MATCH(U$104,$C$9:$X$9,0)))</f>
        <v>16.273506473629428</v>
      </c>
      <c r="V98" s="19">
        <f>2*(-1*INDEX('Desconto Processos'!$N$5:$S$32,MATCH(180-$A98,'Desconto Processos'!$A$5:$A$32,0),MATCH(V$104,'Desconto Processos'!$N$3:$S$3,0))+INDEX('Acrescimo Tangente'!$B$68:$W$95,MATCH($A98,$A$10:$A$37,0),MATCH(V$104,$C$9:$X$9,0)))</f>
        <v>17.404877323527902</v>
      </c>
      <c r="W98" s="17">
        <v>0</v>
      </c>
      <c r="X98" s="17">
        <v>0</v>
      </c>
      <c r="Y98" s="17"/>
    </row>
    <row r="99" spans="1:37" s="6" customFormat="1" ht="15.75" x14ac:dyDescent="0.25">
      <c r="A99" s="11">
        <v>140</v>
      </c>
      <c r="B99" s="19">
        <v>1</v>
      </c>
      <c r="C99" s="17">
        <v>0</v>
      </c>
      <c r="D99" s="17">
        <v>0</v>
      </c>
      <c r="E99" s="17">
        <v>0</v>
      </c>
      <c r="F99" s="17">
        <v>0</v>
      </c>
      <c r="G99" s="19">
        <f>2*(-1*INDEX('Desconto Processos'!$N$5:$S$32,MATCH(180-$A99,'Desconto Processos'!$A$5:$A$32,0),MATCH(G$104,'Desconto Processos'!$N$3:$S$3,0))+INDEX('Acrescimo Tangente'!$B$68:$W$95,MATCH($A99,$A$10:$A$37,0),MATCH(G$104,$C$9:$X$9,0)))</f>
        <v>11.335369032836809</v>
      </c>
      <c r="H99" s="19">
        <f>2*(-1*INDEX('Desconto Processos'!$N$5:$S$32,MATCH(180-$A99,'Desconto Processos'!$A$5:$A$32,0),MATCH(H$104,'Desconto Processos'!$N$3:$S$3,0))+INDEX('Acrescimo Tangente'!$B$68:$W$95,MATCH($A99,$A$10:$A$37,0),MATCH(H$104,$C$9:$X$9,0)))</f>
        <v>11.934360000618659</v>
      </c>
      <c r="I99" s="17">
        <v>0</v>
      </c>
      <c r="J99" s="19">
        <f>2*(-1*INDEX('Desconto Processos'!$N$5:$S$32,MATCH(180-$A99,'Desconto Processos'!$A$5:$A$32,0),MATCH(J$104,'Desconto Processos'!$N$3:$S$3,0))+INDEX('Acrescimo Tangente'!$B$68:$W$95,MATCH($A99,$A$10:$A$37,0),MATCH(J$104,$C$9:$X$9,0)))</f>
        <v>12.782846452291432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9">
        <f>2*(-1*INDEX('Desconto Processos'!$N$5:$S$32,MATCH(180-$A99,'Desconto Processos'!$A$5:$A$32,0),MATCH(P$104,'Desconto Processos'!$N$3:$S$3,0))+INDEX('Acrescimo Tangente'!$B$68:$W$95,MATCH($A99,$A$10:$A$37,0),MATCH(P$104,$C$9:$X$9,0)))</f>
        <v>16.227296775091602</v>
      </c>
      <c r="Q99" s="17">
        <v>0</v>
      </c>
      <c r="R99" s="17">
        <v>0</v>
      </c>
      <c r="S99" s="17">
        <v>0</v>
      </c>
      <c r="T99" s="17">
        <v>0</v>
      </c>
      <c r="U99" s="19">
        <f>2*(-1*INDEX('Desconto Processos'!$N$5:$S$32,MATCH(180-$A99,'Desconto Processos'!$A$5:$A$32,0),MATCH(U$104,'Desconto Processos'!$N$3:$S$3,0))+INDEX('Acrescimo Tangente'!$B$68:$W$95,MATCH($A99,$A$10:$A$37,0),MATCH(U$104,$C$9:$X$9,0)))</f>
        <v>19.772756130109922</v>
      </c>
      <c r="V99" s="19">
        <f>2*(-1*INDEX('Desconto Processos'!$N$5:$S$32,MATCH(180-$A99,'Desconto Processos'!$A$5:$A$32,0),MATCH(V$104,'Desconto Processos'!$N$3:$S$3,0))+INDEX('Acrescimo Tangente'!$B$68:$W$95,MATCH($A99,$A$10:$A$37,0),MATCH(V$104,$C$9:$X$9,0)))</f>
        <v>21.170738065673618</v>
      </c>
      <c r="W99" s="17">
        <v>0</v>
      </c>
      <c r="X99" s="17">
        <v>0</v>
      </c>
      <c r="Y99" s="17"/>
    </row>
    <row r="100" spans="1:37" s="6" customFormat="1" ht="15.75" x14ac:dyDescent="0.25">
      <c r="A100" s="11">
        <v>145</v>
      </c>
      <c r="B100" s="19">
        <v>1</v>
      </c>
      <c r="C100" s="17">
        <v>0</v>
      </c>
      <c r="D100" s="17">
        <v>0</v>
      </c>
      <c r="E100" s="17">
        <v>0</v>
      </c>
      <c r="F100" s="17">
        <v>0</v>
      </c>
      <c r="G100" s="19">
        <f>2*(-1*INDEX('Desconto Processos'!$N$5:$S$32,MATCH(180-$A100,'Desconto Processos'!$A$5:$A$32,0),MATCH(G$104,'Desconto Processos'!$N$3:$S$3,0))+INDEX('Acrescimo Tangente'!$B$68:$W$95,MATCH($A100,$A$10:$A$37,0),MATCH(G$104,$C$9:$X$9,0)))</f>
        <v>13.595249853706633</v>
      </c>
      <c r="H100" s="19">
        <f>2*(-1*INDEX('Desconto Processos'!$N$5:$S$32,MATCH(180-$A100,'Desconto Processos'!$A$5:$A$32,0),MATCH(H$104,'Desconto Processos'!$N$3:$S$3,0))+INDEX('Acrescimo Tangente'!$B$68:$W$95,MATCH($A100,$A$10:$A$37,0),MATCH(H$104,$C$9:$X$9,0)))</f>
        <v>14.363887774651918</v>
      </c>
      <c r="I100" s="17">
        <v>0</v>
      </c>
      <c r="J100" s="19">
        <f>2*(-1*INDEX('Desconto Processos'!$N$5:$S$32,MATCH(180-$A100,'Desconto Processos'!$A$5:$A$32,0),MATCH(J$104,'Desconto Processos'!$N$3:$S$3,0))+INDEX('Acrescimo Tangente'!$B$68:$W$95,MATCH($A100,$A$10:$A$37,0),MATCH(J$104,$C$9:$X$9,0)))</f>
        <v>15.466844656069846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9">
        <f>2*(-1*INDEX('Desconto Processos'!$N$5:$S$32,MATCH(180-$A100,'Desconto Processos'!$A$5:$A$32,0),MATCH(P$104,'Desconto Processos'!$N$3:$S$3,0))+INDEX('Acrescimo Tangente'!$B$68:$W$95,MATCH($A100,$A$10:$A$37,0),MATCH(P$104,$C$9:$X$9,0)))</f>
        <v>19.944353221268912</v>
      </c>
      <c r="Q100" s="17">
        <v>0</v>
      </c>
      <c r="R100" s="17">
        <v>0</v>
      </c>
      <c r="S100" s="17">
        <v>0</v>
      </c>
      <c r="T100" s="17">
        <v>0</v>
      </c>
      <c r="U100" s="19">
        <f>2*(-1*INDEX('Desconto Processos'!$N$5:$S$32,MATCH(180-$A100,'Desconto Processos'!$A$5:$A$32,0),MATCH(U$104,'Desconto Processos'!$N$3:$S$3,0))+INDEX('Acrescimo Tangente'!$B$68:$W$95,MATCH($A100,$A$10:$A$37,0),MATCH(U$104,$C$9:$X$9,0)))</f>
        <v>24.253223865522695</v>
      </c>
      <c r="V100" s="19">
        <f>2*(-1*INDEX('Desconto Processos'!$N$5:$S$32,MATCH(180-$A100,'Desconto Processos'!$A$5:$A$32,0),MATCH(V$104,'Desconto Processos'!$N$3:$S$3,0))+INDEX('Acrescimo Tangente'!$B$68:$W$95,MATCH($A100,$A$10:$A$37,0),MATCH(V$104,$C$9:$X$9,0)))</f>
        <v>25.990499707413267</v>
      </c>
      <c r="W100" s="17">
        <v>0</v>
      </c>
      <c r="X100" s="17">
        <v>0</v>
      </c>
      <c r="Y100" s="17"/>
    </row>
    <row r="101" spans="1:37" s="6" customFormat="1" ht="16.5" thickBot="1" x14ac:dyDescent="0.3">
      <c r="A101" s="11">
        <v>150</v>
      </c>
      <c r="B101" s="19">
        <v>1</v>
      </c>
      <c r="C101" s="17">
        <v>0</v>
      </c>
      <c r="D101" s="17">
        <v>0</v>
      </c>
      <c r="E101" s="17">
        <v>0</v>
      </c>
      <c r="F101" s="17">
        <v>0</v>
      </c>
      <c r="G101" s="19">
        <f>2*(-1*INDEX('Desconto Processos'!$N$5:$S$32,MATCH(180-$A101,'Desconto Processos'!$A$5:$A$32,0),MATCH(G$104,'Desconto Processos'!$N$3:$S$3,0))+INDEX('Acrescimo Tangente'!$B$68:$W$95,MATCH($A101,$A$10:$A$37,0),MATCH(G$104,$C$9:$X$9,0)))</f>
        <v>16.745894683899486</v>
      </c>
      <c r="H101" s="19">
        <f>2*(-1*INDEX('Desconto Processos'!$N$5:$S$32,MATCH(180-$A101,'Desconto Processos'!$A$5:$A$32,0),MATCH(H$104,'Desconto Processos'!$N$3:$S$3,0))+INDEX('Acrescimo Tangente'!$B$68:$W$95,MATCH($A101,$A$10:$A$37,0),MATCH(H$104,$C$9:$X$9,0)))</f>
        <v>17.63871500692704</v>
      </c>
      <c r="I101" s="17">
        <v>0</v>
      </c>
      <c r="J101" s="19">
        <f>2*(-1*INDEX('Desconto Processos'!$N$5:$S$32,MATCH(180-$A101,'Desconto Processos'!$A$5:$A$32,0),MATCH(J$104,'Desconto Processos'!$N$3:$S$3,0))+INDEX('Acrescimo Tangente'!$B$68:$W$95,MATCH($A101,$A$10:$A$37,0),MATCH(J$104,$C$9:$X$9,0)))</f>
        <v>19.077945491468366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9">
        <f>2*(-1*INDEX('Desconto Processos'!$N$5:$S$32,MATCH(180-$A101,'Desconto Processos'!$A$5:$A$32,0),MATCH(P$104,'Desconto Processos'!$N$3:$S$3,0))+INDEX('Acrescimo Tangente'!$B$68:$W$95,MATCH($A101,$A$10:$A$37,0),MATCH(P$104,$C$9:$X$9,0)))</f>
        <v>24.988457268119898</v>
      </c>
      <c r="Q101" s="17">
        <v>0</v>
      </c>
      <c r="R101" s="17">
        <v>0</v>
      </c>
      <c r="S101" s="17">
        <v>0</v>
      </c>
      <c r="T101" s="17">
        <v>0</v>
      </c>
      <c r="U101" s="19">
        <f>2*(-1*INDEX('Desconto Processos'!$N$5:$S$32,MATCH(180-$A101,'Desconto Processos'!$A$5:$A$32,0),MATCH(U$104,'Desconto Processos'!$N$3:$S$3,0))+INDEX('Acrescimo Tangente'!$B$68:$W$95,MATCH($A101,$A$10:$A$37,0),MATCH(U$104,$C$9:$X$9,0)))</f>
        <v>30.206148721743876</v>
      </c>
      <c r="V101" s="19">
        <f>2*(-1*INDEX('Desconto Processos'!$N$5:$S$32,MATCH(180-$A101,'Desconto Processos'!$A$5:$A$32,0),MATCH(V$104,'Desconto Processos'!$N$3:$S$3,0))+INDEX('Acrescimo Tangente'!$B$68:$W$95,MATCH($A101,$A$10:$A$37,0),MATCH(V$104,$C$9:$X$9,0)))</f>
        <v>32.491789367798972</v>
      </c>
      <c r="W101" s="17">
        <v>0</v>
      </c>
      <c r="X101" s="17">
        <v>0</v>
      </c>
      <c r="Y101" s="17"/>
    </row>
    <row r="102" spans="1:37" s="5" customFormat="1" ht="16.5" thickBot="1" x14ac:dyDescent="0.3">
      <c r="A102" s="8" t="s">
        <v>5</v>
      </c>
      <c r="B102" s="16">
        <v>1.6</v>
      </c>
      <c r="C102" s="22"/>
      <c r="X102" s="27"/>
    </row>
    <row r="103" spans="1:37" s="6" customFormat="1" ht="16.5" thickBot="1" x14ac:dyDescent="0.25">
      <c r="A103" s="114" t="s">
        <v>6</v>
      </c>
      <c r="B103" s="116" t="s">
        <v>7</v>
      </c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8"/>
    </row>
    <row r="104" spans="1:37" s="10" customFormat="1" ht="16.5" thickBot="1" x14ac:dyDescent="0.3">
      <c r="A104" s="115"/>
      <c r="B104" s="18">
        <v>0.5</v>
      </c>
      <c r="C104" s="15">
        <v>1</v>
      </c>
      <c r="D104" s="15">
        <v>1.1000000000000001</v>
      </c>
      <c r="E104" s="15">
        <v>1.2</v>
      </c>
      <c r="F104" s="15">
        <v>1.3</v>
      </c>
      <c r="G104" s="18">
        <v>1.4</v>
      </c>
      <c r="H104" s="18">
        <v>1.6</v>
      </c>
      <c r="I104" s="15">
        <v>1.7</v>
      </c>
      <c r="J104" s="18">
        <v>1.9</v>
      </c>
      <c r="K104" s="15">
        <v>2</v>
      </c>
      <c r="L104" s="15">
        <v>2.2999999999999998</v>
      </c>
      <c r="M104" s="15">
        <v>2.5</v>
      </c>
      <c r="N104" s="15">
        <v>2.6</v>
      </c>
      <c r="O104" s="15">
        <v>2.7</v>
      </c>
      <c r="P104" s="15">
        <v>3</v>
      </c>
      <c r="Q104" s="15">
        <v>3.2</v>
      </c>
      <c r="R104" s="15">
        <v>3.3</v>
      </c>
      <c r="S104" s="15">
        <v>3.4</v>
      </c>
      <c r="T104" s="15">
        <v>3.7</v>
      </c>
      <c r="U104" s="18">
        <v>3.9</v>
      </c>
      <c r="V104" s="18">
        <v>4.3</v>
      </c>
      <c r="W104" s="15">
        <v>4.5</v>
      </c>
      <c r="X104" s="15">
        <v>5.5</v>
      </c>
      <c r="Y104" s="15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spans="1:37" s="6" customFormat="1" ht="15.75" x14ac:dyDescent="0.25">
      <c r="A105" s="11">
        <v>15</v>
      </c>
      <c r="B105" s="19">
        <v>1</v>
      </c>
      <c r="C105" s="17">
        <v>0</v>
      </c>
      <c r="D105" s="17">
        <v>0</v>
      </c>
      <c r="E105" s="17">
        <v>0</v>
      </c>
      <c r="F105" s="17">
        <v>0</v>
      </c>
      <c r="G105" s="19">
        <f>2*(-1*INDEX('Desconto Processos'!$N$5:$S$32,MATCH(180-$A105,'Desconto Processos'!$A$5:$A$32,0),MATCH(G$104,'Desconto Processos'!$N$3:$S$3,0))+INDEX('Acrescimo Tangente'!$B$68:$W$95,MATCH($A105,$A$10:$A$37,0),MATCH(G$104,$C$9:$X$9,0)))</f>
        <v>0.3</v>
      </c>
      <c r="H105" s="19">
        <f>2*(-1*INDEX('Desconto Processos'!$N$5:$S$32,MATCH(180-$A105,'Desconto Processos'!$A$5:$A$32,0),MATCH(H$104,'Desconto Processos'!$N$3:$S$3,0))+INDEX('Acrescimo Tangente'!$B$68:$W$95,MATCH($A105,$A$10:$A$37,0),MATCH(H$104,$C$9:$X$9,0)))</f>
        <v>0.3</v>
      </c>
      <c r="I105" s="17">
        <v>0</v>
      </c>
      <c r="J105" s="19">
        <f>2*(-1*INDEX('Desconto Processos'!$N$5:$S$32,MATCH(180-$A105,'Desconto Processos'!$A$5:$A$32,0),MATCH(J$104,'Desconto Processos'!$N$3:$S$3,0))+INDEX('Acrescimo Tangente'!$B$68:$W$95,MATCH($A105,$A$10:$A$37,0),MATCH(J$104,$C$9:$X$9,0)))</f>
        <v>0.3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9">
        <f>2*(-1*INDEX('Desconto Processos'!$N$5:$S$32,MATCH(180-$A105,'Desconto Processos'!$A$5:$A$32,0),MATCH(P$104,'Desconto Processos'!$N$3:$S$3,0))+INDEX('Acrescimo Tangente'!$B$68:$W$95,MATCH($A105,$A$10:$A$37,0),MATCH(P$104,$C$9:$X$9,0)))</f>
        <v>0.3</v>
      </c>
      <c r="Q105" s="17">
        <v>0</v>
      </c>
      <c r="R105" s="17">
        <v>0</v>
      </c>
      <c r="S105" s="17">
        <v>0</v>
      </c>
      <c r="T105" s="17">
        <v>0</v>
      </c>
      <c r="U105" s="19">
        <f>2*(-1*INDEX('Desconto Processos'!$N$5:$S$32,MATCH(180-$A105,'Desconto Processos'!$A$5:$A$32,0),MATCH(U$104,'Desconto Processos'!$N$3:$S$3,0))+INDEX('Acrescimo Tangente'!$B$68:$W$95,MATCH($A105,$A$10:$A$37,0),MATCH(U$104,$C$9:$X$9,0)))</f>
        <v>0.3</v>
      </c>
      <c r="V105" s="19">
        <f>2*(-1*INDEX('Desconto Processos'!$N$5:$S$32,MATCH(180-$A105,'Desconto Processos'!$A$5:$A$32,0),MATCH(V$104,'Desconto Processos'!$N$3:$S$3,0))+INDEX('Acrescimo Tangente'!$B$68:$W$95,MATCH($A105,$A$10:$A$37,0),MATCH(V$104,$C$9:$X$9,0)))</f>
        <v>0.3</v>
      </c>
      <c r="W105" s="17">
        <v>0</v>
      </c>
      <c r="X105" s="17">
        <v>0</v>
      </c>
      <c r="Y105" s="17"/>
    </row>
    <row r="106" spans="1:37" s="6" customFormat="1" ht="15.75" x14ac:dyDescent="0.25">
      <c r="A106" s="11">
        <v>20</v>
      </c>
      <c r="B106" s="19">
        <v>1</v>
      </c>
      <c r="C106" s="17">
        <v>0</v>
      </c>
      <c r="D106" s="17">
        <v>0</v>
      </c>
      <c r="E106" s="17">
        <v>0</v>
      </c>
      <c r="F106" s="17">
        <v>0</v>
      </c>
      <c r="G106" s="19">
        <f>2*(-1*INDEX('Desconto Processos'!$N$5:$S$32,MATCH(180-$A106,'Desconto Processos'!$A$5:$A$32,0),MATCH(G$104,'Desconto Processos'!$N$3:$S$3,0))+INDEX('Acrescimo Tangente'!$B$68:$W$95,MATCH($A106,$A$10:$A$37,0),MATCH(G$104,$C$9:$X$9,0)))</f>
        <v>0.4</v>
      </c>
      <c r="H106" s="19">
        <f>2*(-1*INDEX('Desconto Processos'!$N$5:$S$32,MATCH(180-$A106,'Desconto Processos'!$A$5:$A$32,0),MATCH(H$104,'Desconto Processos'!$N$3:$S$3,0))+INDEX('Acrescimo Tangente'!$B$68:$W$95,MATCH($A106,$A$10:$A$37,0),MATCH(H$104,$C$9:$X$9,0)))</f>
        <v>0.4</v>
      </c>
      <c r="I106" s="17">
        <v>0</v>
      </c>
      <c r="J106" s="19">
        <f>2*(-1*INDEX('Desconto Processos'!$N$5:$S$32,MATCH(180-$A106,'Desconto Processos'!$A$5:$A$32,0),MATCH(J$104,'Desconto Processos'!$N$3:$S$3,0))+INDEX('Acrescimo Tangente'!$B$68:$W$95,MATCH($A106,$A$10:$A$37,0),MATCH(J$104,$C$9:$X$9,0)))</f>
        <v>0.4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9">
        <f>2*(-1*INDEX('Desconto Processos'!$N$5:$S$32,MATCH(180-$A106,'Desconto Processos'!$A$5:$A$32,0),MATCH(P$104,'Desconto Processos'!$N$3:$S$3,0))+INDEX('Acrescimo Tangente'!$B$68:$W$95,MATCH($A106,$A$10:$A$37,0),MATCH(P$104,$C$9:$X$9,0)))</f>
        <v>0.4</v>
      </c>
      <c r="Q106" s="17">
        <v>0</v>
      </c>
      <c r="R106" s="17">
        <v>0</v>
      </c>
      <c r="S106" s="17">
        <v>0</v>
      </c>
      <c r="T106" s="17">
        <v>0</v>
      </c>
      <c r="U106" s="19">
        <f>2*(-1*INDEX('Desconto Processos'!$N$5:$S$32,MATCH(180-$A106,'Desconto Processos'!$A$5:$A$32,0),MATCH(U$104,'Desconto Processos'!$N$3:$S$3,0))+INDEX('Acrescimo Tangente'!$B$68:$W$95,MATCH($A106,$A$10:$A$37,0),MATCH(U$104,$C$9:$X$9,0)))</f>
        <v>0.4</v>
      </c>
      <c r="V106" s="19">
        <f>2*(-1*INDEX('Desconto Processos'!$N$5:$S$32,MATCH(180-$A106,'Desconto Processos'!$A$5:$A$32,0),MATCH(V$104,'Desconto Processos'!$N$3:$S$3,0))+INDEX('Acrescimo Tangente'!$B$68:$W$95,MATCH($A106,$A$10:$A$37,0),MATCH(V$104,$C$9:$X$9,0)))</f>
        <v>0.4</v>
      </c>
      <c r="W106" s="17">
        <v>0</v>
      </c>
      <c r="X106" s="17">
        <v>0</v>
      </c>
      <c r="Y106" s="17"/>
    </row>
    <row r="107" spans="1:37" s="6" customFormat="1" ht="15.75" x14ac:dyDescent="0.25">
      <c r="A107" s="11">
        <v>25</v>
      </c>
      <c r="B107" s="19">
        <v>1</v>
      </c>
      <c r="C107" s="17">
        <v>0</v>
      </c>
      <c r="D107" s="17">
        <v>0</v>
      </c>
      <c r="E107" s="17">
        <v>0</v>
      </c>
      <c r="F107" s="17">
        <v>0</v>
      </c>
      <c r="G107" s="19">
        <f>2*(-1*INDEX('Desconto Processos'!$N$5:$S$32,MATCH(180-$A107,'Desconto Processos'!$A$5:$A$32,0),MATCH(G$104,'Desconto Processos'!$N$3:$S$3,0))+INDEX('Acrescimo Tangente'!$B$68:$W$95,MATCH($A107,$A$10:$A$37,0),MATCH(G$104,$C$9:$X$9,0)))</f>
        <v>0.5</v>
      </c>
      <c r="H107" s="19">
        <f>2*(-1*INDEX('Desconto Processos'!$N$5:$S$32,MATCH(180-$A107,'Desconto Processos'!$A$5:$A$32,0),MATCH(H$104,'Desconto Processos'!$N$3:$S$3,0))+INDEX('Acrescimo Tangente'!$B$68:$W$95,MATCH($A107,$A$10:$A$37,0),MATCH(H$104,$C$9:$X$9,0)))</f>
        <v>0.5</v>
      </c>
      <c r="I107" s="17">
        <v>0</v>
      </c>
      <c r="J107" s="19">
        <f>2*(-1*INDEX('Desconto Processos'!$N$5:$S$32,MATCH(180-$A107,'Desconto Processos'!$A$5:$A$32,0),MATCH(J$104,'Desconto Processos'!$N$3:$S$3,0))+INDEX('Acrescimo Tangente'!$B$68:$W$95,MATCH($A107,$A$10:$A$37,0),MATCH(J$104,$C$9:$X$9,0)))</f>
        <v>0.5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9">
        <f>2*(-1*INDEX('Desconto Processos'!$N$5:$S$32,MATCH(180-$A107,'Desconto Processos'!$A$5:$A$32,0),MATCH(P$104,'Desconto Processos'!$N$3:$S$3,0))+INDEX('Acrescimo Tangente'!$B$68:$W$95,MATCH($A107,$A$10:$A$37,0),MATCH(P$104,$C$9:$X$9,0)))</f>
        <v>0.5</v>
      </c>
      <c r="Q107" s="17">
        <v>0</v>
      </c>
      <c r="R107" s="17">
        <v>0</v>
      </c>
      <c r="S107" s="17">
        <v>0</v>
      </c>
      <c r="T107" s="17">
        <v>0</v>
      </c>
      <c r="U107" s="19">
        <f>2*(-1*INDEX('Desconto Processos'!$N$5:$S$32,MATCH(180-$A107,'Desconto Processos'!$A$5:$A$32,0),MATCH(U$104,'Desconto Processos'!$N$3:$S$3,0))+INDEX('Acrescimo Tangente'!$B$68:$W$95,MATCH($A107,$A$10:$A$37,0),MATCH(U$104,$C$9:$X$9,0)))</f>
        <v>0.5</v>
      </c>
      <c r="V107" s="19">
        <f>2*(-1*INDEX('Desconto Processos'!$N$5:$S$32,MATCH(180-$A107,'Desconto Processos'!$A$5:$A$32,0),MATCH(V$104,'Desconto Processos'!$N$3:$S$3,0))+INDEX('Acrescimo Tangente'!$B$68:$W$95,MATCH($A107,$A$10:$A$37,0),MATCH(V$104,$C$9:$X$9,0)))</f>
        <v>0.6</v>
      </c>
      <c r="W107" s="17">
        <v>0</v>
      </c>
      <c r="X107" s="17">
        <v>0</v>
      </c>
      <c r="Y107" s="17"/>
    </row>
    <row r="108" spans="1:37" s="6" customFormat="1" ht="15.75" x14ac:dyDescent="0.25">
      <c r="A108" s="11">
        <v>30</v>
      </c>
      <c r="B108" s="19">
        <v>1</v>
      </c>
      <c r="C108" s="17">
        <v>0</v>
      </c>
      <c r="D108" s="17">
        <v>0</v>
      </c>
      <c r="E108" s="17">
        <v>0</v>
      </c>
      <c r="F108" s="17">
        <v>0</v>
      </c>
      <c r="G108" s="19">
        <f>2*(-1*INDEX('Desconto Processos'!$N$5:$S$32,MATCH(180-$A108,'Desconto Processos'!$A$5:$A$32,0),MATCH(G$104,'Desconto Processos'!$N$3:$S$3,0))+INDEX('Acrescimo Tangente'!$B$68:$W$95,MATCH($A108,$A$10:$A$37,0),MATCH(G$104,$C$9:$X$9,0)))</f>
        <v>0.6</v>
      </c>
      <c r="H108" s="19">
        <f>2*(-1*INDEX('Desconto Processos'!$N$5:$S$32,MATCH(180-$A108,'Desconto Processos'!$A$5:$A$32,0),MATCH(H$104,'Desconto Processos'!$N$3:$S$3,0))+INDEX('Acrescimo Tangente'!$B$68:$W$95,MATCH($A108,$A$10:$A$37,0),MATCH(H$104,$C$9:$X$9,0)))</f>
        <v>0.6</v>
      </c>
      <c r="I108" s="17">
        <v>0</v>
      </c>
      <c r="J108" s="19">
        <f>2*(-1*INDEX('Desconto Processos'!$N$5:$S$32,MATCH(180-$A108,'Desconto Processos'!$A$5:$A$32,0),MATCH(J$104,'Desconto Processos'!$N$3:$S$3,0))+INDEX('Acrescimo Tangente'!$B$68:$W$95,MATCH($A108,$A$10:$A$37,0),MATCH(J$104,$C$9:$X$9,0)))</f>
        <v>0.6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9">
        <f>2*(-1*INDEX('Desconto Processos'!$N$5:$S$32,MATCH(180-$A108,'Desconto Processos'!$A$5:$A$32,0),MATCH(P$104,'Desconto Processos'!$N$3:$S$3,0))+INDEX('Acrescimo Tangente'!$B$68:$W$95,MATCH($A108,$A$10:$A$37,0),MATCH(P$104,$C$9:$X$9,0)))</f>
        <v>0.6</v>
      </c>
      <c r="Q108" s="17">
        <v>0</v>
      </c>
      <c r="R108" s="17">
        <v>0</v>
      </c>
      <c r="S108" s="17">
        <v>0</v>
      </c>
      <c r="T108" s="17">
        <v>0</v>
      </c>
      <c r="U108" s="19">
        <f>2*(-1*INDEX('Desconto Processos'!$N$5:$S$32,MATCH(180-$A108,'Desconto Processos'!$A$5:$A$32,0),MATCH(U$104,'Desconto Processos'!$N$3:$S$3,0))+INDEX('Acrescimo Tangente'!$B$68:$W$95,MATCH($A108,$A$10:$A$37,0),MATCH(U$104,$C$9:$X$9,0)))</f>
        <v>0.7</v>
      </c>
      <c r="V108" s="19">
        <f>2*(-1*INDEX('Desconto Processos'!$N$5:$S$32,MATCH(180-$A108,'Desconto Processos'!$A$5:$A$32,0),MATCH(V$104,'Desconto Processos'!$N$3:$S$3,0))+INDEX('Acrescimo Tangente'!$B$68:$W$95,MATCH($A108,$A$10:$A$37,0),MATCH(V$104,$C$9:$X$9,0)))</f>
        <v>0.7</v>
      </c>
      <c r="W108" s="17">
        <v>0</v>
      </c>
      <c r="X108" s="17">
        <v>0</v>
      </c>
      <c r="Y108" s="17"/>
    </row>
    <row r="109" spans="1:37" s="6" customFormat="1" ht="15.75" x14ac:dyDescent="0.25">
      <c r="A109" s="11">
        <v>35</v>
      </c>
      <c r="B109" s="19">
        <v>1</v>
      </c>
      <c r="C109" s="17">
        <v>0</v>
      </c>
      <c r="D109" s="17">
        <v>0</v>
      </c>
      <c r="E109" s="17">
        <v>0</v>
      </c>
      <c r="F109" s="17">
        <v>0</v>
      </c>
      <c r="G109" s="19">
        <f>2*(-1*INDEX('Desconto Processos'!$N$5:$S$32,MATCH(180-$A109,'Desconto Processos'!$A$5:$A$32,0),MATCH(G$104,'Desconto Processos'!$N$3:$S$3,0))+INDEX('Acrescimo Tangente'!$B$68:$W$95,MATCH($A109,$A$10:$A$37,0),MATCH(G$104,$C$9:$X$9,0)))</f>
        <v>0.7</v>
      </c>
      <c r="H109" s="19">
        <f>2*(-1*INDEX('Desconto Processos'!$N$5:$S$32,MATCH(180-$A109,'Desconto Processos'!$A$5:$A$32,0),MATCH(H$104,'Desconto Processos'!$N$3:$S$3,0))+INDEX('Acrescimo Tangente'!$B$68:$W$95,MATCH($A109,$A$10:$A$37,0),MATCH(H$104,$C$9:$X$9,0)))</f>
        <v>0.7</v>
      </c>
      <c r="I109" s="17">
        <v>0</v>
      </c>
      <c r="J109" s="19">
        <f>2*(-1*INDEX('Desconto Processos'!$N$5:$S$32,MATCH(180-$A109,'Desconto Processos'!$A$5:$A$32,0),MATCH(J$104,'Desconto Processos'!$N$3:$S$3,0))+INDEX('Acrescimo Tangente'!$B$68:$W$95,MATCH($A109,$A$10:$A$37,0),MATCH(J$104,$C$9:$X$9,0)))</f>
        <v>0.7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9">
        <f>2*(-1*INDEX('Desconto Processos'!$N$5:$S$32,MATCH(180-$A109,'Desconto Processos'!$A$5:$A$32,0),MATCH(P$104,'Desconto Processos'!$N$3:$S$3,0))+INDEX('Acrescimo Tangente'!$B$68:$W$95,MATCH($A109,$A$10:$A$37,0),MATCH(P$104,$C$9:$X$9,0)))</f>
        <v>0.7</v>
      </c>
      <c r="Q109" s="17">
        <v>0</v>
      </c>
      <c r="R109" s="17">
        <v>0</v>
      </c>
      <c r="S109" s="17">
        <v>0</v>
      </c>
      <c r="T109" s="17">
        <v>0</v>
      </c>
      <c r="U109" s="19">
        <f>2*(-1*INDEX('Desconto Processos'!$N$5:$S$32,MATCH(180-$A109,'Desconto Processos'!$A$5:$A$32,0),MATCH(U$104,'Desconto Processos'!$N$3:$S$3,0))+INDEX('Acrescimo Tangente'!$B$68:$W$95,MATCH($A109,$A$10:$A$37,0),MATCH(U$104,$C$9:$X$9,0)))</f>
        <v>0.8</v>
      </c>
      <c r="V109" s="19">
        <f>2*(-1*INDEX('Desconto Processos'!$N$5:$S$32,MATCH(180-$A109,'Desconto Processos'!$A$5:$A$32,0),MATCH(V$104,'Desconto Processos'!$N$3:$S$3,0))+INDEX('Acrescimo Tangente'!$B$68:$W$95,MATCH($A109,$A$10:$A$37,0),MATCH(V$104,$C$9:$X$9,0)))</f>
        <v>0.6</v>
      </c>
      <c r="W109" s="17">
        <v>0</v>
      </c>
      <c r="X109" s="17">
        <v>0</v>
      </c>
      <c r="Y109" s="17"/>
    </row>
    <row r="110" spans="1:37" s="6" customFormat="1" ht="15.75" x14ac:dyDescent="0.25">
      <c r="A110" s="11">
        <v>40</v>
      </c>
      <c r="B110" s="19">
        <v>1</v>
      </c>
      <c r="C110" s="17">
        <v>0</v>
      </c>
      <c r="D110" s="17">
        <v>0</v>
      </c>
      <c r="E110" s="17">
        <v>0</v>
      </c>
      <c r="F110" s="17">
        <v>0</v>
      </c>
      <c r="G110" s="19">
        <f>2*(-1*INDEX('Desconto Processos'!$N$5:$S$32,MATCH(180-$A110,'Desconto Processos'!$A$5:$A$32,0),MATCH(G$104,'Desconto Processos'!$N$3:$S$3,0))+INDEX('Acrescimo Tangente'!$B$68:$W$95,MATCH($A110,$A$10:$A$37,0),MATCH(G$104,$C$9:$X$9,0)))</f>
        <v>0.8</v>
      </c>
      <c r="H110" s="19">
        <f>2*(-1*INDEX('Desconto Processos'!$N$5:$S$32,MATCH(180-$A110,'Desconto Processos'!$A$5:$A$32,0),MATCH(H$104,'Desconto Processos'!$N$3:$S$3,0))+INDEX('Acrescimo Tangente'!$B$68:$W$95,MATCH($A110,$A$10:$A$37,0),MATCH(H$104,$C$9:$X$9,0)))</f>
        <v>0.8</v>
      </c>
      <c r="I110" s="17">
        <v>0</v>
      </c>
      <c r="J110" s="19">
        <f>2*(-1*INDEX('Desconto Processos'!$N$5:$S$32,MATCH(180-$A110,'Desconto Processos'!$A$5:$A$32,0),MATCH(J$104,'Desconto Processos'!$N$3:$S$3,0))+INDEX('Acrescimo Tangente'!$B$68:$W$95,MATCH($A110,$A$10:$A$37,0),MATCH(J$104,$C$9:$X$9,0)))</f>
        <v>0.9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9">
        <f>2*(-1*INDEX('Desconto Processos'!$N$5:$S$32,MATCH(180-$A110,'Desconto Processos'!$A$5:$A$32,0),MATCH(P$104,'Desconto Processos'!$N$3:$S$3,0))+INDEX('Acrescimo Tangente'!$B$68:$W$95,MATCH($A110,$A$10:$A$37,0),MATCH(P$104,$C$9:$X$9,0)))</f>
        <v>0.8</v>
      </c>
      <c r="Q110" s="17">
        <v>0</v>
      </c>
      <c r="R110" s="17">
        <v>0</v>
      </c>
      <c r="S110" s="17">
        <v>0</v>
      </c>
      <c r="T110" s="17">
        <v>0</v>
      </c>
      <c r="U110" s="19">
        <f>2*(-1*INDEX('Desconto Processos'!$N$5:$S$32,MATCH(180-$A110,'Desconto Processos'!$A$5:$A$32,0),MATCH(U$104,'Desconto Processos'!$N$3:$S$3,0))+INDEX('Acrescimo Tangente'!$B$68:$W$95,MATCH($A110,$A$10:$A$37,0),MATCH(U$104,$C$9:$X$9,0)))</f>
        <v>0.9</v>
      </c>
      <c r="V110" s="19">
        <f>2*(-1*INDEX('Desconto Processos'!$N$5:$S$32,MATCH(180-$A110,'Desconto Processos'!$A$5:$A$32,0),MATCH(V$104,'Desconto Processos'!$N$3:$S$3,0))+INDEX('Acrescimo Tangente'!$B$68:$W$95,MATCH($A110,$A$10:$A$37,0),MATCH(V$104,$C$9:$X$9,0)))</f>
        <v>0.8</v>
      </c>
      <c r="W110" s="17">
        <v>0</v>
      </c>
      <c r="X110" s="17">
        <v>0</v>
      </c>
      <c r="Y110" s="17"/>
    </row>
    <row r="111" spans="1:37" s="6" customFormat="1" ht="15.75" x14ac:dyDescent="0.25">
      <c r="A111" s="11">
        <v>45</v>
      </c>
      <c r="B111" s="19">
        <v>1</v>
      </c>
      <c r="C111" s="17">
        <v>0</v>
      </c>
      <c r="D111" s="17">
        <v>0</v>
      </c>
      <c r="E111" s="17">
        <v>0</v>
      </c>
      <c r="F111" s="17">
        <v>0</v>
      </c>
      <c r="G111" s="19">
        <f>2*(-1*INDEX('Desconto Processos'!$N$5:$S$32,MATCH(180-$A111,'Desconto Processos'!$A$5:$A$32,0),MATCH(G$104,'Desconto Processos'!$N$3:$S$3,0))+INDEX('Acrescimo Tangente'!$B$68:$W$95,MATCH($A111,$A$10:$A$37,0),MATCH(G$104,$C$9:$X$9,0)))</f>
        <v>0.9</v>
      </c>
      <c r="H111" s="19">
        <f>2*(-1*INDEX('Desconto Processos'!$N$5:$S$32,MATCH(180-$A111,'Desconto Processos'!$A$5:$A$32,0),MATCH(H$104,'Desconto Processos'!$N$3:$S$3,0))+INDEX('Acrescimo Tangente'!$B$68:$W$95,MATCH($A111,$A$10:$A$37,0),MATCH(H$104,$C$9:$X$9,0)))</f>
        <v>1</v>
      </c>
      <c r="I111" s="17">
        <v>0</v>
      </c>
      <c r="J111" s="19">
        <f>2*(-1*INDEX('Desconto Processos'!$N$5:$S$32,MATCH(180-$A111,'Desconto Processos'!$A$5:$A$32,0),MATCH(J$104,'Desconto Processos'!$N$3:$S$3,0))+INDEX('Acrescimo Tangente'!$B$68:$W$95,MATCH($A111,$A$10:$A$37,0),MATCH(J$104,$C$9:$X$9,0)))</f>
        <v>1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9">
        <f>2*(-1*INDEX('Desconto Processos'!$N$5:$S$32,MATCH(180-$A111,'Desconto Processos'!$A$5:$A$32,0),MATCH(P$104,'Desconto Processos'!$N$3:$S$3,0))+INDEX('Acrescimo Tangente'!$B$68:$W$95,MATCH($A111,$A$10:$A$37,0),MATCH(P$104,$C$9:$X$9,0)))</f>
        <v>0.9</v>
      </c>
      <c r="Q111" s="17">
        <v>0</v>
      </c>
      <c r="R111" s="17">
        <v>0</v>
      </c>
      <c r="S111" s="17">
        <v>0</v>
      </c>
      <c r="T111" s="17">
        <v>0</v>
      </c>
      <c r="U111" s="19">
        <f>2*(-1*INDEX('Desconto Processos'!$N$5:$S$32,MATCH(180-$A111,'Desconto Processos'!$A$5:$A$32,0),MATCH(U$104,'Desconto Processos'!$N$3:$S$3,0))+INDEX('Acrescimo Tangente'!$B$68:$W$95,MATCH($A111,$A$10:$A$37,0),MATCH(U$104,$C$9:$X$9,0)))</f>
        <v>1.1000000000000001</v>
      </c>
      <c r="V111" s="19">
        <f>2*(-1*INDEX('Desconto Processos'!$N$5:$S$32,MATCH(180-$A111,'Desconto Processos'!$A$5:$A$32,0),MATCH(V$104,'Desconto Processos'!$N$3:$S$3,0))+INDEX('Acrescimo Tangente'!$B$68:$W$95,MATCH($A111,$A$10:$A$37,0),MATCH(V$104,$C$9:$X$9,0)))</f>
        <v>1</v>
      </c>
      <c r="W111" s="17">
        <v>0</v>
      </c>
      <c r="X111" s="17">
        <v>0</v>
      </c>
      <c r="Y111" s="17"/>
    </row>
    <row r="112" spans="1:37" s="6" customFormat="1" ht="15.75" x14ac:dyDescent="0.25">
      <c r="A112" s="11">
        <v>50</v>
      </c>
      <c r="B112" s="19">
        <v>1</v>
      </c>
      <c r="C112" s="17">
        <v>0</v>
      </c>
      <c r="D112" s="17">
        <v>0</v>
      </c>
      <c r="E112" s="17">
        <v>0</v>
      </c>
      <c r="F112" s="17">
        <v>0</v>
      </c>
      <c r="G112" s="19">
        <f>2*(-1*INDEX('Desconto Processos'!$N$5:$S$32,MATCH(180-$A112,'Desconto Processos'!$A$5:$A$32,0),MATCH(G$104,'Desconto Processos'!$N$3:$S$3,0))+INDEX('Acrescimo Tangente'!$B$68:$W$95,MATCH($A112,$A$10:$A$37,0),MATCH(G$104,$C$9:$X$9,0)))</f>
        <v>1</v>
      </c>
      <c r="H112" s="19">
        <f>2*(-1*INDEX('Desconto Processos'!$N$5:$S$32,MATCH(180-$A112,'Desconto Processos'!$A$5:$A$32,0),MATCH(H$104,'Desconto Processos'!$N$3:$S$3,0))+INDEX('Acrescimo Tangente'!$B$68:$W$95,MATCH($A112,$A$10:$A$37,0),MATCH(H$104,$C$9:$X$9,0)))</f>
        <v>1.1000000000000001</v>
      </c>
      <c r="I112" s="17">
        <v>0</v>
      </c>
      <c r="J112" s="19">
        <f>2*(-1*INDEX('Desconto Processos'!$N$5:$S$32,MATCH(180-$A112,'Desconto Processos'!$A$5:$A$32,0),MATCH(J$104,'Desconto Processos'!$N$3:$S$3,0))+INDEX('Acrescimo Tangente'!$B$68:$W$95,MATCH($A112,$A$10:$A$37,0),MATCH(J$104,$C$9:$X$9,0)))</f>
        <v>1.2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9">
        <f>2*(-1*INDEX('Desconto Processos'!$N$5:$S$32,MATCH(180-$A112,'Desconto Processos'!$A$5:$A$32,0),MATCH(P$104,'Desconto Processos'!$N$3:$S$3,0))+INDEX('Acrescimo Tangente'!$B$68:$W$95,MATCH($A112,$A$10:$A$37,0),MATCH(P$104,$C$9:$X$9,0)))</f>
        <v>1.1000000000000001</v>
      </c>
      <c r="Q112" s="17">
        <v>0</v>
      </c>
      <c r="R112" s="17">
        <v>0</v>
      </c>
      <c r="S112" s="17">
        <v>0</v>
      </c>
      <c r="T112" s="17">
        <v>0</v>
      </c>
      <c r="U112" s="19">
        <f>2*(-1*INDEX('Desconto Processos'!$N$5:$S$32,MATCH(180-$A112,'Desconto Processos'!$A$5:$A$32,0),MATCH(U$104,'Desconto Processos'!$N$3:$S$3,0))+INDEX('Acrescimo Tangente'!$B$68:$W$95,MATCH($A112,$A$10:$A$37,0),MATCH(U$104,$C$9:$X$9,0)))</f>
        <v>1.3</v>
      </c>
      <c r="V112" s="19">
        <f>2*(-1*INDEX('Desconto Processos'!$N$5:$S$32,MATCH(180-$A112,'Desconto Processos'!$A$5:$A$32,0),MATCH(V$104,'Desconto Processos'!$N$3:$S$3,0))+INDEX('Acrescimo Tangente'!$B$68:$W$95,MATCH($A112,$A$10:$A$37,0),MATCH(V$104,$C$9:$X$9,0)))</f>
        <v>1.2</v>
      </c>
      <c r="W112" s="17">
        <v>0</v>
      </c>
      <c r="X112" s="17">
        <v>0</v>
      </c>
      <c r="Y112" s="17"/>
    </row>
    <row r="113" spans="1:25" s="6" customFormat="1" ht="15.75" x14ac:dyDescent="0.25">
      <c r="A113" s="11">
        <v>55</v>
      </c>
      <c r="B113" s="19">
        <v>1</v>
      </c>
      <c r="C113" s="17">
        <v>0</v>
      </c>
      <c r="D113" s="17">
        <v>0</v>
      </c>
      <c r="E113" s="17">
        <v>0</v>
      </c>
      <c r="F113" s="17">
        <v>0</v>
      </c>
      <c r="G113" s="19">
        <f>2*(-1*INDEX('Desconto Processos'!$N$5:$S$32,MATCH(180-$A113,'Desconto Processos'!$A$5:$A$32,0),MATCH(G$104,'Desconto Processos'!$N$3:$S$3,0))+INDEX('Acrescimo Tangente'!$B$68:$W$95,MATCH($A113,$A$10:$A$37,0),MATCH(G$104,$C$9:$X$9,0)))</f>
        <v>1.2</v>
      </c>
      <c r="H113" s="19">
        <f>2*(-1*INDEX('Desconto Processos'!$N$5:$S$32,MATCH(180-$A113,'Desconto Processos'!$A$5:$A$32,0),MATCH(H$104,'Desconto Processos'!$N$3:$S$3,0))+INDEX('Acrescimo Tangente'!$B$68:$W$95,MATCH($A113,$A$10:$A$37,0),MATCH(H$104,$C$9:$X$9,0)))</f>
        <v>1.2</v>
      </c>
      <c r="I113" s="17">
        <v>0</v>
      </c>
      <c r="J113" s="19">
        <f>2*(-1*INDEX('Desconto Processos'!$N$5:$S$32,MATCH(180-$A113,'Desconto Processos'!$A$5:$A$32,0),MATCH(J$104,'Desconto Processos'!$N$3:$S$3,0))+INDEX('Acrescimo Tangente'!$B$68:$W$95,MATCH($A113,$A$10:$A$37,0),MATCH(J$104,$C$9:$X$9,0)))</f>
        <v>1.4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9">
        <f>2*(-1*INDEX('Desconto Processos'!$N$5:$S$32,MATCH(180-$A113,'Desconto Processos'!$A$5:$A$32,0),MATCH(P$104,'Desconto Processos'!$N$3:$S$3,0))+INDEX('Acrescimo Tangente'!$B$68:$W$95,MATCH($A113,$A$10:$A$37,0),MATCH(P$104,$C$9:$X$9,0)))</f>
        <v>1.4</v>
      </c>
      <c r="Q113" s="17">
        <v>0</v>
      </c>
      <c r="R113" s="17">
        <v>0</v>
      </c>
      <c r="S113" s="17">
        <v>0</v>
      </c>
      <c r="T113" s="17">
        <v>0</v>
      </c>
      <c r="U113" s="19">
        <f>2*(-1*INDEX('Desconto Processos'!$N$5:$S$32,MATCH(180-$A113,'Desconto Processos'!$A$5:$A$32,0),MATCH(U$104,'Desconto Processos'!$N$3:$S$3,0))+INDEX('Acrescimo Tangente'!$B$68:$W$95,MATCH($A113,$A$10:$A$37,0),MATCH(U$104,$C$9:$X$9,0)))</f>
        <v>1.5</v>
      </c>
      <c r="V113" s="19">
        <f>2*(-1*INDEX('Desconto Processos'!$N$5:$S$32,MATCH(180-$A113,'Desconto Processos'!$A$5:$A$32,0),MATCH(V$104,'Desconto Processos'!$N$3:$S$3,0))+INDEX('Acrescimo Tangente'!$B$68:$W$95,MATCH($A113,$A$10:$A$37,0),MATCH(V$104,$C$9:$X$9,0)))</f>
        <v>1.4</v>
      </c>
      <c r="W113" s="17">
        <v>0</v>
      </c>
      <c r="X113" s="17">
        <v>0</v>
      </c>
      <c r="Y113" s="17"/>
    </row>
    <row r="114" spans="1:25" s="6" customFormat="1" ht="15.75" x14ac:dyDescent="0.25">
      <c r="A114" s="11">
        <v>60</v>
      </c>
      <c r="B114" s="19">
        <v>1</v>
      </c>
      <c r="C114" s="17">
        <v>0</v>
      </c>
      <c r="D114" s="17">
        <v>0</v>
      </c>
      <c r="E114" s="17">
        <v>0</v>
      </c>
      <c r="F114" s="17">
        <v>0</v>
      </c>
      <c r="G114" s="19">
        <f>2*(-1*INDEX('Desconto Processos'!$N$5:$S$32,MATCH(180-$A114,'Desconto Processos'!$A$5:$A$32,0),MATCH(G$104,'Desconto Processos'!$N$3:$S$3,0))+INDEX('Acrescimo Tangente'!$B$68:$W$95,MATCH($A114,$A$10:$A$37,0),MATCH(G$104,$C$9:$X$9,0)))</f>
        <v>1.4</v>
      </c>
      <c r="H114" s="19">
        <f>2*(-1*INDEX('Desconto Processos'!$N$5:$S$32,MATCH(180-$A114,'Desconto Processos'!$A$5:$A$32,0),MATCH(H$104,'Desconto Processos'!$N$3:$S$3,0))+INDEX('Acrescimo Tangente'!$B$68:$W$95,MATCH($A114,$A$10:$A$37,0),MATCH(H$104,$C$9:$X$9,0)))</f>
        <v>1.4</v>
      </c>
      <c r="I114" s="17">
        <v>0</v>
      </c>
      <c r="J114" s="19">
        <f>2*(-1*INDEX('Desconto Processos'!$N$5:$S$32,MATCH(180-$A114,'Desconto Processos'!$A$5:$A$32,0),MATCH(J$104,'Desconto Processos'!$N$3:$S$3,0))+INDEX('Acrescimo Tangente'!$B$68:$W$95,MATCH($A114,$A$10:$A$37,0),MATCH(J$104,$C$9:$X$9,0)))</f>
        <v>1.6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9">
        <f>2*(-1*INDEX('Desconto Processos'!$N$5:$S$32,MATCH(180-$A114,'Desconto Processos'!$A$5:$A$32,0),MATCH(P$104,'Desconto Processos'!$N$3:$S$3,0))+INDEX('Acrescimo Tangente'!$B$68:$W$95,MATCH($A114,$A$10:$A$37,0),MATCH(P$104,$C$9:$X$9,0)))</f>
        <v>1.6</v>
      </c>
      <c r="Q114" s="17">
        <v>0</v>
      </c>
      <c r="R114" s="17">
        <v>0</v>
      </c>
      <c r="S114" s="17">
        <v>0</v>
      </c>
      <c r="T114" s="17">
        <v>0</v>
      </c>
      <c r="U114" s="19">
        <f>2*(-1*INDEX('Desconto Processos'!$N$5:$S$32,MATCH(180-$A114,'Desconto Processos'!$A$5:$A$32,0),MATCH(U$104,'Desconto Processos'!$N$3:$S$3,0))+INDEX('Acrescimo Tangente'!$B$68:$W$95,MATCH($A114,$A$10:$A$37,0),MATCH(U$104,$C$9:$X$9,0)))</f>
        <v>1.8</v>
      </c>
      <c r="V114" s="19">
        <f>2*(-1*INDEX('Desconto Processos'!$N$5:$S$32,MATCH(180-$A114,'Desconto Processos'!$A$5:$A$32,0),MATCH(V$104,'Desconto Processos'!$N$3:$S$3,0))+INDEX('Acrescimo Tangente'!$B$68:$W$95,MATCH($A114,$A$10:$A$37,0),MATCH(V$104,$C$9:$X$9,0)))</f>
        <v>1.6</v>
      </c>
      <c r="W114" s="17">
        <v>0</v>
      </c>
      <c r="X114" s="17">
        <v>0</v>
      </c>
      <c r="Y114" s="17"/>
    </row>
    <row r="115" spans="1:25" s="6" customFormat="1" ht="15.75" x14ac:dyDescent="0.25">
      <c r="A115" s="11">
        <v>65</v>
      </c>
      <c r="B115" s="19">
        <v>1</v>
      </c>
      <c r="C115" s="17">
        <v>0</v>
      </c>
      <c r="D115" s="17">
        <v>0</v>
      </c>
      <c r="E115" s="17">
        <v>0</v>
      </c>
      <c r="F115" s="17">
        <v>0</v>
      </c>
      <c r="G115" s="19">
        <f>2*(-1*INDEX('Desconto Processos'!$N$5:$S$32,MATCH(180-$A115,'Desconto Processos'!$A$5:$A$32,0),MATCH(G$104,'Desconto Processos'!$N$3:$S$3,0))+INDEX('Acrescimo Tangente'!$B$68:$W$95,MATCH($A115,$A$10:$A$37,0),MATCH(G$104,$C$9:$X$9,0)))</f>
        <v>1.5</v>
      </c>
      <c r="H115" s="19">
        <f>2*(-1*INDEX('Desconto Processos'!$N$5:$S$32,MATCH(180-$A115,'Desconto Processos'!$A$5:$A$32,0),MATCH(H$104,'Desconto Processos'!$N$3:$S$3,0))+INDEX('Acrescimo Tangente'!$B$68:$W$95,MATCH($A115,$A$10:$A$37,0),MATCH(H$104,$C$9:$X$9,0)))</f>
        <v>1.6</v>
      </c>
      <c r="I115" s="17">
        <v>0</v>
      </c>
      <c r="J115" s="19">
        <f>2*(-1*INDEX('Desconto Processos'!$N$5:$S$32,MATCH(180-$A115,'Desconto Processos'!$A$5:$A$32,0),MATCH(J$104,'Desconto Processos'!$N$3:$S$3,0))+INDEX('Acrescimo Tangente'!$B$68:$W$95,MATCH($A115,$A$10:$A$37,0),MATCH(J$104,$C$9:$X$9,0)))</f>
        <v>1.8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9">
        <f>2*(-1*INDEX('Desconto Processos'!$N$5:$S$32,MATCH(180-$A115,'Desconto Processos'!$A$5:$A$32,0),MATCH(P$104,'Desconto Processos'!$N$3:$S$3,0))+INDEX('Acrescimo Tangente'!$B$68:$W$95,MATCH($A115,$A$10:$A$37,0),MATCH(P$104,$C$9:$X$9,0)))</f>
        <v>1.7</v>
      </c>
      <c r="Q115" s="17">
        <v>0</v>
      </c>
      <c r="R115" s="17">
        <v>0</v>
      </c>
      <c r="S115" s="17">
        <v>0</v>
      </c>
      <c r="T115" s="17">
        <v>0</v>
      </c>
      <c r="U115" s="19">
        <f>2*(-1*INDEX('Desconto Processos'!$N$5:$S$32,MATCH(180-$A115,'Desconto Processos'!$A$5:$A$32,0),MATCH(U$104,'Desconto Processos'!$N$3:$S$3,0))+INDEX('Acrescimo Tangente'!$B$68:$W$95,MATCH($A115,$A$10:$A$37,0),MATCH(U$104,$C$9:$X$9,0)))</f>
        <v>2</v>
      </c>
      <c r="V115" s="19">
        <f>2*(-1*INDEX('Desconto Processos'!$N$5:$S$32,MATCH(180-$A115,'Desconto Processos'!$A$5:$A$32,0),MATCH(V$104,'Desconto Processos'!$N$3:$S$3,0))+INDEX('Acrescimo Tangente'!$B$68:$W$95,MATCH($A115,$A$10:$A$37,0),MATCH(V$104,$C$9:$X$9,0)))</f>
        <v>1.9</v>
      </c>
      <c r="W115" s="17">
        <v>0</v>
      </c>
      <c r="X115" s="17">
        <v>0</v>
      </c>
      <c r="Y115" s="17"/>
    </row>
    <row r="116" spans="1:25" s="6" customFormat="1" ht="15.75" x14ac:dyDescent="0.25">
      <c r="A116" s="11">
        <v>70</v>
      </c>
      <c r="B116" s="19">
        <v>1</v>
      </c>
      <c r="C116" s="17">
        <v>0</v>
      </c>
      <c r="D116" s="17">
        <v>0</v>
      </c>
      <c r="E116" s="17">
        <v>0</v>
      </c>
      <c r="F116" s="17">
        <v>0</v>
      </c>
      <c r="G116" s="19">
        <f>2*(-1*INDEX('Desconto Processos'!$N$5:$S$32,MATCH(180-$A116,'Desconto Processos'!$A$5:$A$32,0),MATCH(G$104,'Desconto Processos'!$N$3:$S$3,0))+INDEX('Acrescimo Tangente'!$B$68:$W$95,MATCH($A116,$A$10:$A$37,0),MATCH(G$104,$C$9:$X$9,0)))</f>
        <v>1.7</v>
      </c>
      <c r="H116" s="19">
        <f>2*(-1*INDEX('Desconto Processos'!$N$5:$S$32,MATCH(180-$A116,'Desconto Processos'!$A$5:$A$32,0),MATCH(H$104,'Desconto Processos'!$N$3:$S$3,0))+INDEX('Acrescimo Tangente'!$B$68:$W$95,MATCH($A116,$A$10:$A$37,0),MATCH(H$104,$C$9:$X$9,0)))</f>
        <v>1.8</v>
      </c>
      <c r="I116" s="17">
        <v>0</v>
      </c>
      <c r="J116" s="19">
        <f>2*(-1*INDEX('Desconto Processos'!$N$5:$S$32,MATCH(180-$A116,'Desconto Processos'!$A$5:$A$32,0),MATCH(J$104,'Desconto Processos'!$N$3:$S$3,0))+INDEX('Acrescimo Tangente'!$B$68:$W$95,MATCH($A116,$A$10:$A$37,0),MATCH(J$104,$C$9:$X$9,0)))</f>
        <v>2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9">
        <f>2*(-1*INDEX('Desconto Processos'!$N$5:$S$32,MATCH(180-$A116,'Desconto Processos'!$A$5:$A$32,0),MATCH(P$104,'Desconto Processos'!$N$3:$S$3,0))+INDEX('Acrescimo Tangente'!$B$68:$W$95,MATCH($A116,$A$10:$A$37,0),MATCH(P$104,$C$9:$X$9,0)))</f>
        <v>1.9</v>
      </c>
      <c r="Q116" s="17">
        <v>0</v>
      </c>
      <c r="R116" s="17">
        <v>0</v>
      </c>
      <c r="S116" s="17">
        <v>0</v>
      </c>
      <c r="T116" s="17">
        <v>0</v>
      </c>
      <c r="U116" s="19">
        <f>2*(-1*INDEX('Desconto Processos'!$N$5:$S$32,MATCH(180-$A116,'Desconto Processos'!$A$5:$A$32,0),MATCH(U$104,'Desconto Processos'!$N$3:$S$3,0))+INDEX('Acrescimo Tangente'!$B$68:$W$95,MATCH($A116,$A$10:$A$37,0),MATCH(U$104,$C$9:$X$9,0)))</f>
        <v>2.2000000000000002</v>
      </c>
      <c r="V116" s="19">
        <f>2*(-1*INDEX('Desconto Processos'!$N$5:$S$32,MATCH(180-$A116,'Desconto Processos'!$A$5:$A$32,0),MATCH(V$104,'Desconto Processos'!$N$3:$S$3,0))+INDEX('Acrescimo Tangente'!$B$68:$W$95,MATCH($A116,$A$10:$A$37,0),MATCH(V$104,$C$9:$X$9,0)))</f>
        <v>2.1</v>
      </c>
      <c r="W116" s="17">
        <v>0</v>
      </c>
      <c r="X116" s="17">
        <v>0</v>
      </c>
      <c r="Y116" s="17"/>
    </row>
    <row r="117" spans="1:25" s="6" customFormat="1" ht="15.75" x14ac:dyDescent="0.25">
      <c r="A117" s="11">
        <v>75</v>
      </c>
      <c r="B117" s="19">
        <v>1</v>
      </c>
      <c r="C117" s="17">
        <v>0</v>
      </c>
      <c r="D117" s="17">
        <v>0</v>
      </c>
      <c r="E117" s="17">
        <v>0</v>
      </c>
      <c r="F117" s="17">
        <v>0</v>
      </c>
      <c r="G117" s="19">
        <f>2*(-1*INDEX('Desconto Processos'!$N$5:$S$32,MATCH(180-$A117,'Desconto Processos'!$A$5:$A$32,0),MATCH(G$104,'Desconto Processos'!$N$3:$S$3,0))+INDEX('Acrescimo Tangente'!$B$68:$W$95,MATCH($A117,$A$10:$A$37,0),MATCH(G$104,$C$9:$X$9,0)))</f>
        <v>2</v>
      </c>
      <c r="H117" s="19">
        <f>2*(-1*INDEX('Desconto Processos'!$N$5:$S$32,MATCH(180-$A117,'Desconto Processos'!$A$5:$A$32,0),MATCH(H$104,'Desconto Processos'!$N$3:$S$3,0))+INDEX('Acrescimo Tangente'!$B$68:$W$95,MATCH($A117,$A$10:$A$37,0),MATCH(H$104,$C$9:$X$9,0)))</f>
        <v>2</v>
      </c>
      <c r="I117" s="17">
        <v>0</v>
      </c>
      <c r="J117" s="19">
        <f>2*(-1*INDEX('Desconto Processos'!$N$5:$S$32,MATCH(180-$A117,'Desconto Processos'!$A$5:$A$32,0),MATCH(J$104,'Desconto Processos'!$N$3:$S$3,0))+INDEX('Acrescimo Tangente'!$B$68:$W$95,MATCH($A117,$A$10:$A$37,0),MATCH(J$104,$C$9:$X$9,0)))</f>
        <v>2.2000000000000002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9">
        <f>2*(-1*INDEX('Desconto Processos'!$N$5:$S$32,MATCH(180-$A117,'Desconto Processos'!$A$5:$A$32,0),MATCH(P$104,'Desconto Processos'!$N$3:$S$3,0))+INDEX('Acrescimo Tangente'!$B$68:$W$95,MATCH($A117,$A$10:$A$37,0),MATCH(P$104,$C$9:$X$9,0)))</f>
        <v>2.4</v>
      </c>
      <c r="Q117" s="17">
        <v>0</v>
      </c>
      <c r="R117" s="17">
        <v>0</v>
      </c>
      <c r="S117" s="17">
        <v>0</v>
      </c>
      <c r="T117" s="17">
        <v>0</v>
      </c>
      <c r="U117" s="19">
        <f>2*(-1*INDEX('Desconto Processos'!$N$5:$S$32,MATCH(180-$A117,'Desconto Processos'!$A$5:$A$32,0),MATCH(U$104,'Desconto Processos'!$N$3:$S$3,0))+INDEX('Acrescimo Tangente'!$B$68:$W$95,MATCH($A117,$A$10:$A$37,0),MATCH(U$104,$C$9:$X$9,0)))</f>
        <v>2.6</v>
      </c>
      <c r="V117" s="19">
        <f>2*(-1*INDEX('Desconto Processos'!$N$5:$S$32,MATCH(180-$A117,'Desconto Processos'!$A$5:$A$32,0),MATCH(V$104,'Desconto Processos'!$N$3:$S$3,0))+INDEX('Acrescimo Tangente'!$B$68:$W$95,MATCH($A117,$A$10:$A$37,0),MATCH(V$104,$C$9:$X$9,0)))</f>
        <v>3</v>
      </c>
      <c r="W117" s="17">
        <v>0</v>
      </c>
      <c r="X117" s="17">
        <v>0</v>
      </c>
      <c r="Y117" s="17"/>
    </row>
    <row r="118" spans="1:25" s="6" customFormat="1" ht="15.75" x14ac:dyDescent="0.25">
      <c r="A118" s="11">
        <v>80</v>
      </c>
      <c r="B118" s="19">
        <v>1</v>
      </c>
      <c r="C118" s="17">
        <v>0</v>
      </c>
      <c r="D118" s="17">
        <v>0</v>
      </c>
      <c r="E118" s="17">
        <v>0</v>
      </c>
      <c r="F118" s="17">
        <v>0</v>
      </c>
      <c r="G118" s="19">
        <f>2*(-1*INDEX('Desconto Processos'!$N$5:$S$32,MATCH(180-$A118,'Desconto Processos'!$A$5:$A$32,0),MATCH(G$104,'Desconto Processos'!$N$3:$S$3,0))+INDEX('Acrescimo Tangente'!$B$68:$W$95,MATCH($A118,$A$10:$A$37,0),MATCH(G$104,$C$9:$X$9,0)))</f>
        <v>2.2000000000000002</v>
      </c>
      <c r="H118" s="19">
        <f>2*(-1*INDEX('Desconto Processos'!$N$5:$S$32,MATCH(180-$A118,'Desconto Processos'!$A$5:$A$32,0),MATCH(H$104,'Desconto Processos'!$N$3:$S$3,0))+INDEX('Acrescimo Tangente'!$B$68:$W$95,MATCH($A118,$A$10:$A$37,0),MATCH(H$104,$C$9:$X$9,0)))</f>
        <v>2.2999999999999998</v>
      </c>
      <c r="I118" s="17">
        <v>0</v>
      </c>
      <c r="J118" s="19">
        <f>2*(-1*INDEX('Desconto Processos'!$N$5:$S$32,MATCH(180-$A118,'Desconto Processos'!$A$5:$A$32,0),MATCH(J$104,'Desconto Processos'!$N$3:$S$3,0))+INDEX('Acrescimo Tangente'!$B$68:$W$95,MATCH($A118,$A$10:$A$37,0),MATCH(J$104,$C$9:$X$9,0)))</f>
        <v>2.4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9">
        <f>2*(-1*INDEX('Desconto Processos'!$N$5:$S$32,MATCH(180-$A118,'Desconto Processos'!$A$5:$A$32,0),MATCH(P$104,'Desconto Processos'!$N$3:$S$3,0))+INDEX('Acrescimo Tangente'!$B$68:$W$95,MATCH($A118,$A$10:$A$37,0),MATCH(P$104,$C$9:$X$9,0)))</f>
        <v>2.5</v>
      </c>
      <c r="Q118" s="17">
        <v>0</v>
      </c>
      <c r="R118" s="17">
        <v>0</v>
      </c>
      <c r="S118" s="17">
        <v>0</v>
      </c>
      <c r="T118" s="17">
        <v>0</v>
      </c>
      <c r="U118" s="19">
        <f>2*(-1*INDEX('Desconto Processos'!$N$5:$S$32,MATCH(180-$A118,'Desconto Processos'!$A$5:$A$32,0),MATCH(U$104,'Desconto Processos'!$N$3:$S$3,0))+INDEX('Acrescimo Tangente'!$B$68:$W$95,MATCH($A118,$A$10:$A$37,0),MATCH(U$104,$C$9:$X$9,0)))</f>
        <v>2.8</v>
      </c>
      <c r="V118" s="19">
        <f>2*(-1*INDEX('Desconto Processos'!$N$5:$S$32,MATCH(180-$A118,'Desconto Processos'!$A$5:$A$32,0),MATCH(V$104,'Desconto Processos'!$N$3:$S$3,0))+INDEX('Acrescimo Tangente'!$B$68:$W$95,MATCH($A118,$A$10:$A$37,0),MATCH(V$104,$C$9:$X$9,0)))</f>
        <v>3.2</v>
      </c>
      <c r="W118" s="17">
        <v>0</v>
      </c>
      <c r="X118" s="17">
        <v>0</v>
      </c>
      <c r="Y118" s="17"/>
    </row>
    <row r="119" spans="1:25" s="6" customFormat="1" ht="15.75" x14ac:dyDescent="0.25">
      <c r="A119" s="11">
        <v>85</v>
      </c>
      <c r="B119" s="19">
        <v>1</v>
      </c>
      <c r="C119" s="17">
        <v>0</v>
      </c>
      <c r="D119" s="17">
        <v>0</v>
      </c>
      <c r="E119" s="17">
        <v>0</v>
      </c>
      <c r="F119" s="17">
        <v>0</v>
      </c>
      <c r="G119" s="19">
        <f>2*(-1*INDEX('Desconto Processos'!$N$5:$S$32,MATCH(180-$A119,'Desconto Processos'!$A$5:$A$32,0),MATCH(G$104,'Desconto Processos'!$N$3:$S$3,0))+INDEX('Acrescimo Tangente'!$B$68:$W$95,MATCH($A119,$A$10:$A$37,0),MATCH(G$104,$C$9:$X$9,0)))</f>
        <v>2.4</v>
      </c>
      <c r="H119" s="19">
        <f>2*(-1*INDEX('Desconto Processos'!$N$5:$S$32,MATCH(180-$A119,'Desconto Processos'!$A$5:$A$32,0),MATCH(H$104,'Desconto Processos'!$N$3:$S$3,0))+INDEX('Acrescimo Tangente'!$B$68:$W$95,MATCH($A119,$A$10:$A$37,0),MATCH(H$104,$C$9:$X$9,0)))</f>
        <v>2.6</v>
      </c>
      <c r="I119" s="17">
        <v>0</v>
      </c>
      <c r="J119" s="19">
        <f>2*(-1*INDEX('Desconto Processos'!$N$5:$S$32,MATCH(180-$A119,'Desconto Processos'!$A$5:$A$32,0),MATCH(J$104,'Desconto Processos'!$N$3:$S$3,0))+INDEX('Acrescimo Tangente'!$B$68:$W$95,MATCH($A119,$A$10:$A$37,0),MATCH(J$104,$C$9:$X$9,0)))</f>
        <v>2.6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9">
        <f>2*(-1*INDEX('Desconto Processos'!$N$5:$S$32,MATCH(180-$A119,'Desconto Processos'!$A$5:$A$32,0),MATCH(P$104,'Desconto Processos'!$N$3:$S$3,0))+INDEX('Acrescimo Tangente'!$B$68:$W$95,MATCH($A119,$A$10:$A$37,0),MATCH(P$104,$C$9:$X$9,0)))</f>
        <v>2.9</v>
      </c>
      <c r="Q119" s="17">
        <v>0</v>
      </c>
      <c r="R119" s="17">
        <v>0</v>
      </c>
      <c r="S119" s="17">
        <v>0</v>
      </c>
      <c r="T119" s="17">
        <v>0</v>
      </c>
      <c r="U119" s="19">
        <f>2*(-1*INDEX('Desconto Processos'!$N$5:$S$32,MATCH(180-$A119,'Desconto Processos'!$A$5:$A$32,0),MATCH(U$104,'Desconto Processos'!$N$3:$S$3,0))+INDEX('Acrescimo Tangente'!$B$68:$W$95,MATCH($A119,$A$10:$A$37,0),MATCH(U$104,$C$9:$X$9,0)))</f>
        <v>3.2</v>
      </c>
      <c r="V119" s="19">
        <f>2*(-1*INDEX('Desconto Processos'!$N$5:$S$32,MATCH(180-$A119,'Desconto Processos'!$A$5:$A$32,0),MATCH(V$104,'Desconto Processos'!$N$3:$S$3,0))+INDEX('Acrescimo Tangente'!$B$68:$W$95,MATCH($A119,$A$10:$A$37,0),MATCH(V$104,$C$9:$X$9,0)))</f>
        <v>3.4</v>
      </c>
      <c r="W119" s="17">
        <v>0</v>
      </c>
      <c r="X119" s="17">
        <v>0</v>
      </c>
      <c r="Y119" s="17"/>
    </row>
    <row r="120" spans="1:25" s="6" customFormat="1" ht="15.75" x14ac:dyDescent="0.25">
      <c r="A120" s="20">
        <v>90</v>
      </c>
      <c r="B120" s="21">
        <v>1</v>
      </c>
      <c r="C120" s="21">
        <v>0</v>
      </c>
      <c r="D120" s="21">
        <v>0</v>
      </c>
      <c r="E120" s="21">
        <v>0</v>
      </c>
      <c r="F120" s="21">
        <v>0</v>
      </c>
      <c r="G120" s="21">
        <f>2*(-1*INDEX('Desconto Processos'!$N$5:$S$32,MATCH(180-$A120,'Desconto Processos'!$A$5:$A$32,0),MATCH(G$104,'Desconto Processos'!$N$3:$S$3,0))+INDEX('Acrescimo Tangente'!$B$68:$W$95,MATCH($A120,$A$10:$A$37,0),MATCH(G$104,$C$9:$X$9,0)))</f>
        <v>2.8</v>
      </c>
      <c r="H120" s="21">
        <f>2*(-1*INDEX('Desconto Processos'!$N$5:$S$32,MATCH(180-$A120,'Desconto Processos'!$A$5:$A$32,0),MATCH(H$104,'Desconto Processos'!$N$3:$S$3,0))+INDEX('Acrescimo Tangente'!$B$68:$W$95,MATCH($A120,$A$10:$A$37,0),MATCH(H$104,$C$9:$X$9,0)))</f>
        <v>2.9</v>
      </c>
      <c r="I120" s="21">
        <v>0</v>
      </c>
      <c r="J120" s="21">
        <f>2*(-1*INDEX('Desconto Processos'!$N$5:$S$32,MATCH(180-$A120,'Desconto Processos'!$A$5:$A$32,0),MATCH(J$104,'Desconto Processos'!$N$3:$S$3,0))+INDEX('Acrescimo Tangente'!$B$68:$W$95,MATCH($A120,$A$10:$A$37,0),MATCH(J$104,$C$9:$X$9,0)))</f>
        <v>3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f>2*(-1*INDEX('Desconto Processos'!$N$5:$S$32,MATCH(180-$A120,'Desconto Processos'!$A$5:$A$32,0),MATCH(P$104,'Desconto Processos'!$N$3:$S$3,0))+INDEX('Acrescimo Tangente'!$B$68:$W$95,MATCH($A120,$A$10:$A$37,0),MATCH(P$104,$C$9:$X$9,0)))</f>
        <v>3.4</v>
      </c>
      <c r="Q120" s="21">
        <v>0</v>
      </c>
      <c r="R120" s="21">
        <v>0</v>
      </c>
      <c r="S120" s="21">
        <v>0</v>
      </c>
      <c r="T120" s="21">
        <v>0</v>
      </c>
      <c r="U120" s="21">
        <f>2*(-1*INDEX('Desconto Processos'!$N$5:$S$32,MATCH(180-$A120,'Desconto Processos'!$A$5:$A$32,0),MATCH(U$104,'Desconto Processos'!$N$3:$S$3,0))+INDEX('Acrescimo Tangente'!$B$68:$W$95,MATCH($A120,$A$10:$A$37,0),MATCH(U$104,$C$9:$X$9,0)))</f>
        <v>3.7</v>
      </c>
      <c r="V120" s="21">
        <f>2*(-1*INDEX('Desconto Processos'!$N$5:$S$32,MATCH(180-$A120,'Desconto Processos'!$A$5:$A$32,0),MATCH(V$104,'Desconto Processos'!$N$3:$S$3,0))+INDEX('Acrescimo Tangente'!$B$68:$W$95,MATCH($A120,$A$10:$A$37,0),MATCH(V$104,$C$9:$X$9,0)))</f>
        <v>3.8</v>
      </c>
      <c r="W120" s="21">
        <v>0</v>
      </c>
      <c r="X120" s="21">
        <v>0</v>
      </c>
      <c r="Y120" s="17"/>
    </row>
    <row r="121" spans="1:25" s="6" customFormat="1" ht="15.75" x14ac:dyDescent="0.25">
      <c r="A121" s="11">
        <v>95</v>
      </c>
      <c r="B121" s="19">
        <v>1</v>
      </c>
      <c r="C121" s="17">
        <v>0</v>
      </c>
      <c r="D121" s="17">
        <v>0</v>
      </c>
      <c r="E121" s="17">
        <v>0</v>
      </c>
      <c r="F121" s="17">
        <v>0</v>
      </c>
      <c r="G121" s="19">
        <f>2*(-1*INDEX('Desconto Processos'!$N$5:$S$32,MATCH(180-$A121,'Desconto Processos'!$A$5:$A$32,0),MATCH(G$104,'Desconto Processos'!$N$3:$S$3,0))+INDEX('Acrescimo Tangente'!$B$68:$W$95,MATCH($A121,$A$10:$A$37,0),MATCH(G$104,$C$9:$X$9,0)))</f>
        <v>3.2295893062017744</v>
      </c>
      <c r="H121" s="19">
        <f>2*(-1*INDEX('Desconto Processos'!$N$5:$S$32,MATCH(180-$A121,'Desconto Processos'!$A$5:$A$32,0),MATCH(H$104,'Desconto Processos'!$N$3:$S$3,0))+INDEX('Acrescimo Tangente'!$B$68:$W$95,MATCH($A121,$A$10:$A$37,0),MATCH(H$104,$C$9:$X$9,0)))</f>
        <v>3.2661127066294831</v>
      </c>
      <c r="I121" s="17">
        <v>0</v>
      </c>
      <c r="J121" s="19">
        <f>2*(-1*INDEX('Desconto Processos'!$N$5:$S$32,MATCH(180-$A121,'Desconto Processos'!$A$5:$A$32,0),MATCH(J$104,'Desconto Processos'!$N$3:$S$3,0))+INDEX('Acrescimo Tangente'!$B$68:$W$95,MATCH($A121,$A$10:$A$37,0),MATCH(J$104,$C$9:$X$9,0)))</f>
        <v>3.4208978072710456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9">
        <f>2*(-1*INDEX('Desconto Processos'!$N$5:$S$32,MATCH(180-$A121,'Desconto Processos'!$A$5:$A$32,0),MATCH(P$104,'Desconto Processos'!$N$3:$S$3,0))+INDEX('Acrescimo Tangente'!$B$68:$W$95,MATCH($A121,$A$10:$A$37,0),MATCH(P$104,$C$9:$X$9,0)))</f>
        <v>3.8217765096234428</v>
      </c>
      <c r="Q121" s="17">
        <v>0</v>
      </c>
      <c r="R121" s="17">
        <v>0</v>
      </c>
      <c r="S121" s="17">
        <v>0</v>
      </c>
      <c r="T121" s="17">
        <v>0</v>
      </c>
      <c r="U121" s="19">
        <f>2*(-1*INDEX('Desconto Processos'!$N$5:$S$32,MATCH(180-$A121,'Desconto Processos'!$A$5:$A$32,0),MATCH(U$104,'Desconto Processos'!$N$3:$S$3,0))+INDEX('Acrescimo Tangente'!$B$68:$W$95,MATCH($A121,$A$10:$A$37,0),MATCH(U$104,$C$9:$X$9,0)))</f>
        <v>4.2861318115481311</v>
      </c>
      <c r="V121" s="19">
        <f>2*(-1*INDEX('Desconto Processos'!$N$5:$S$32,MATCH(180-$A121,'Desconto Processos'!$A$5:$A$32,0),MATCH(V$104,'Desconto Processos'!$N$3:$S$3,0))+INDEX('Acrescimo Tangente'!$B$68:$W$95,MATCH($A121,$A$10:$A$37,0),MATCH(V$104,$C$9:$X$9,0)))</f>
        <v>4.459178612403548</v>
      </c>
      <c r="W121" s="17">
        <v>0</v>
      </c>
      <c r="X121" s="17">
        <v>0</v>
      </c>
      <c r="Y121" s="17"/>
    </row>
    <row r="122" spans="1:25" s="6" customFormat="1" ht="15.75" x14ac:dyDescent="0.25">
      <c r="A122" s="11">
        <v>100</v>
      </c>
      <c r="B122" s="19">
        <v>1</v>
      </c>
      <c r="C122" s="17">
        <v>0</v>
      </c>
      <c r="D122" s="17">
        <v>0</v>
      </c>
      <c r="E122" s="17">
        <v>0</v>
      </c>
      <c r="F122" s="17">
        <v>0</v>
      </c>
      <c r="G122" s="19">
        <f>2*(-1*INDEX('Desconto Processos'!$N$5:$S$32,MATCH(180-$A122,'Desconto Processos'!$A$5:$A$32,0),MATCH(G$104,'Desconto Processos'!$N$3:$S$3,0))+INDEX('Acrescimo Tangente'!$B$68:$W$95,MATCH($A122,$A$10:$A$37,0),MATCH(G$104,$C$9:$X$9,0)))</f>
        <v>3.6121708370464187</v>
      </c>
      <c r="H122" s="19">
        <f>2*(-1*INDEX('Desconto Processos'!$N$5:$S$32,MATCH(180-$A122,'Desconto Processos'!$A$5:$A$32,0),MATCH(H$104,'Desconto Processos'!$N$3:$S$3,0))+INDEX('Acrescimo Tangente'!$B$68:$W$95,MATCH($A122,$A$10:$A$37,0),MATCH(H$104,$C$9:$X$9,0)))</f>
        <v>3.7888722740841025</v>
      </c>
      <c r="I122" s="17">
        <v>0</v>
      </c>
      <c r="J122" s="19">
        <f>2*(-1*INDEX('Desconto Processos'!$N$5:$S$32,MATCH(180-$A122,'Desconto Processos'!$A$5:$A$32,0),MATCH(J$104,'Desconto Processos'!$N$3:$S$3,0))+INDEX('Acrescimo Tangente'!$B$68:$W$95,MATCH($A122,$A$10:$A$37,0),MATCH(J$104,$C$9:$X$9,0)))</f>
        <v>3.9039244296406288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9">
        <f>2*(-1*INDEX('Desconto Processos'!$N$5:$S$32,MATCH(180-$A122,'Desconto Processos'!$A$5:$A$32,0),MATCH(P$104,'Desconto Processos'!$N$3:$S$3,0))+INDEX('Acrescimo Tangente'!$B$68:$W$95,MATCH($A122,$A$10:$A$37,0),MATCH(P$104,$C$9:$X$9,0)))</f>
        <v>4.4257823333478914</v>
      </c>
      <c r="Q122" s="17">
        <v>0</v>
      </c>
      <c r="R122" s="17">
        <v>0</v>
      </c>
      <c r="S122" s="17">
        <v>0</v>
      </c>
      <c r="T122" s="17">
        <v>0</v>
      </c>
      <c r="U122" s="19">
        <f>2*(-1*INDEX('Desconto Processos'!$N$5:$S$32,MATCH(180-$A122,'Desconto Processos'!$A$5:$A$32,0),MATCH(U$104,'Desconto Processos'!$N$3:$S$3,0))+INDEX('Acrescimo Tangente'!$B$68:$W$95,MATCH($A122,$A$10:$A$37,0),MATCH(U$104,$C$9:$X$9,0)))</f>
        <v>4.9709388000174695</v>
      </c>
      <c r="V122" s="19">
        <f>2*(-1*INDEX('Desconto Processos'!$N$5:$S$32,MATCH(180-$A122,'Desconto Processos'!$A$5:$A$32,0),MATCH(V$104,'Desconto Processos'!$N$3:$S$3,0))+INDEX('Acrescimo Tangente'!$B$68:$W$95,MATCH($A122,$A$10:$A$37,0),MATCH(V$104,$C$9:$X$9,0)))</f>
        <v>5.2243416740928375</v>
      </c>
      <c r="W122" s="17">
        <v>0</v>
      </c>
      <c r="X122" s="17">
        <v>0</v>
      </c>
      <c r="Y122" s="17"/>
    </row>
    <row r="123" spans="1:25" s="6" customFormat="1" ht="15.75" x14ac:dyDescent="0.25">
      <c r="A123" s="11">
        <v>105</v>
      </c>
      <c r="B123" s="19">
        <v>1</v>
      </c>
      <c r="C123" s="17">
        <v>0</v>
      </c>
      <c r="D123" s="17">
        <v>0</v>
      </c>
      <c r="E123" s="17">
        <v>0</v>
      </c>
      <c r="F123" s="17">
        <v>0</v>
      </c>
      <c r="G123" s="19">
        <f>2*(-1*INDEX('Desconto Processos'!$N$5:$S$32,MATCH(180-$A123,'Desconto Processos'!$A$5:$A$32,0),MATCH(G$104,'Desconto Processos'!$N$3:$S$3,0))+INDEX('Acrescimo Tangente'!$B$68:$W$95,MATCH($A123,$A$10:$A$37,0),MATCH(G$104,$C$9:$X$9,0)))</f>
        <v>4.1587071624789935</v>
      </c>
      <c r="H123" s="19">
        <f>2*(-1*INDEX('Desconto Processos'!$N$5:$S$32,MATCH(180-$A123,'Desconto Processos'!$A$5:$A$32,0),MATCH(H$104,'Desconto Processos'!$N$3:$S$3,0))+INDEX('Acrescimo Tangente'!$B$68:$W$95,MATCH($A123,$A$10:$A$37,0),MATCH(H$104,$C$9:$X$9,0)))</f>
        <v>4.2799973116154755</v>
      </c>
      <c r="I123" s="17">
        <v>0</v>
      </c>
      <c r="J123" s="19">
        <f>2*(-1*INDEX('Desconto Processos'!$N$5:$S$32,MATCH(180-$A123,'Desconto Processos'!$A$5:$A$32,0),MATCH(J$104,'Desconto Processos'!$N$3:$S$3,0))+INDEX('Acrescimo Tangente'!$B$68:$W$95,MATCH($A123,$A$10:$A$37,0),MATCH(J$104,$C$9:$X$9,0)))</f>
        <v>4.4619325353201988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9">
        <f>2*(-1*INDEX('Desconto Processos'!$N$5:$S$32,MATCH(180-$A123,'Desconto Processos'!$A$5:$A$32,0),MATCH(P$104,'Desconto Processos'!$N$3:$S$3,0))+INDEX('Acrescimo Tangente'!$B$68:$W$95,MATCH($A123,$A$10:$A$37,0),MATCH(P$104,$C$9:$X$9,0)))</f>
        <v>5.1290283555708509</v>
      </c>
      <c r="Q123" s="17">
        <v>0</v>
      </c>
      <c r="R123" s="17">
        <v>0</v>
      </c>
      <c r="S123" s="17">
        <v>0</v>
      </c>
      <c r="T123" s="17">
        <v>0</v>
      </c>
      <c r="U123" s="19">
        <f>2*(-1*INDEX('Desconto Processos'!$N$5:$S$32,MATCH(180-$A123,'Desconto Processos'!$A$5:$A$32,0),MATCH(U$104,'Desconto Processos'!$N$3:$S$3,0))+INDEX('Acrescimo Tangente'!$B$68:$W$95,MATCH($A123,$A$10:$A$37,0),MATCH(U$104,$C$9:$X$9,0)))</f>
        <v>5.7748340266850215</v>
      </c>
      <c r="V123" s="19">
        <f>2*(-1*INDEX('Desconto Processos'!$N$5:$S$32,MATCH(180-$A123,'Desconto Processos'!$A$5:$A$32,0),MATCH(V$104,'Desconto Processos'!$N$3:$S$3,0))+INDEX('Acrescimo Tangente'!$B$68:$W$95,MATCH($A123,$A$10:$A$37,0),MATCH(V$104,$C$9:$X$9,0)))</f>
        <v>6.117414324957986</v>
      </c>
      <c r="W123" s="17">
        <v>0</v>
      </c>
      <c r="X123" s="17">
        <v>0</v>
      </c>
      <c r="Y123" s="17"/>
    </row>
    <row r="124" spans="1:25" s="6" customFormat="1" ht="15.75" x14ac:dyDescent="0.25">
      <c r="A124" s="11">
        <v>110</v>
      </c>
      <c r="B124" s="19">
        <v>1</v>
      </c>
      <c r="C124" s="17">
        <v>0</v>
      </c>
      <c r="D124" s="17">
        <v>0</v>
      </c>
      <c r="E124" s="17">
        <v>0</v>
      </c>
      <c r="F124" s="17">
        <v>0</v>
      </c>
      <c r="G124" s="19">
        <f>2*(-1*INDEX('Desconto Processos'!$N$5:$S$32,MATCH(180-$A124,'Desconto Processos'!$A$5:$A$32,0),MATCH(G$104,'Desconto Processos'!$N$3:$S$3,0))+INDEX('Acrescimo Tangente'!$B$68:$W$95,MATCH($A124,$A$10:$A$37,0),MATCH(G$104,$C$9:$X$9,0)))</f>
        <v>4.6832584391042644</v>
      </c>
      <c r="H124" s="19">
        <f>2*(-1*INDEX('Desconto Processos'!$N$5:$S$32,MATCH(180-$A124,'Desconto Processos'!$A$5:$A$32,0),MATCH(H$104,'Desconto Processos'!$N$3:$S$3,0))+INDEX('Acrescimo Tangente'!$B$68:$W$95,MATCH($A124,$A$10:$A$37,0),MATCH(H$104,$C$9:$X$9,0)))</f>
        <v>4.8545176418011113</v>
      </c>
      <c r="I124" s="17">
        <v>0</v>
      </c>
      <c r="J124" s="19">
        <f>2*(-1*INDEX('Desconto Processos'!$N$5:$S$32,MATCH(180-$A124,'Desconto Processos'!$A$5:$A$32,0),MATCH(J$104,'Desconto Processos'!$N$3:$S$3,0))+INDEX('Acrescimo Tangente'!$B$68:$W$95,MATCH($A124,$A$10:$A$37,0),MATCH(J$104,$C$9:$X$9,0)))</f>
        <v>5.1114064458463799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9">
        <f>2*(-1*INDEX('Desconto Processos'!$N$5:$S$32,MATCH(180-$A124,'Desconto Processos'!$A$5:$A$32,0),MATCH(P$104,'Desconto Processos'!$N$3:$S$3,0))+INDEX('Acrescimo Tangente'!$B$68:$W$95,MATCH($A124,$A$10:$A$37,0),MATCH(P$104,$C$9:$X$9,0)))</f>
        <v>5.9533320606790321</v>
      </c>
      <c r="Q124" s="17">
        <v>0</v>
      </c>
      <c r="R124" s="17">
        <v>0</v>
      </c>
      <c r="S124" s="17">
        <v>0</v>
      </c>
      <c r="T124" s="17">
        <v>0</v>
      </c>
      <c r="U124" s="19">
        <f>2*(-1*INDEX('Desconto Processos'!$N$5:$S$32,MATCH(180-$A124,'Desconto Processos'!$A$5:$A$32,0),MATCH(U$104,'Desconto Processos'!$N$3:$S$3,0))+INDEX('Acrescimo Tangente'!$B$68:$W$95,MATCH($A124,$A$10:$A$37,0),MATCH(U$104,$C$9:$X$9,0)))</f>
        <v>6.7239984728148379</v>
      </c>
      <c r="V124" s="19">
        <f>2*(-1*INDEX('Desconto Processos'!$N$5:$S$32,MATCH(180-$A124,'Desconto Processos'!$A$5:$A$32,0),MATCH(V$104,'Desconto Processos'!$N$3:$S$3,0))+INDEX('Acrescimo Tangente'!$B$68:$W$95,MATCH($A124,$A$10:$A$37,0),MATCH(V$104,$C$9:$X$9,0)))</f>
        <v>7.0665168782085299</v>
      </c>
      <c r="W124" s="17">
        <v>0</v>
      </c>
      <c r="X124" s="17">
        <v>0</v>
      </c>
      <c r="Y124" s="17"/>
    </row>
    <row r="125" spans="1:25" s="6" customFormat="1" ht="15.75" x14ac:dyDescent="0.25">
      <c r="A125" s="11">
        <v>115</v>
      </c>
      <c r="B125" s="19">
        <v>1</v>
      </c>
      <c r="C125" s="17">
        <v>0</v>
      </c>
      <c r="D125" s="17">
        <v>0</v>
      </c>
      <c r="E125" s="17">
        <v>0</v>
      </c>
      <c r="F125" s="17">
        <v>0</v>
      </c>
      <c r="G125" s="19">
        <f>2*(-1*INDEX('Desconto Processos'!$N$5:$S$32,MATCH(180-$A125,'Desconto Processos'!$A$5:$A$32,0),MATCH(G$104,'Desconto Processos'!$N$3:$S$3,0))+INDEX('Acrescimo Tangente'!$B$68:$W$95,MATCH($A125,$A$10:$A$37,0),MATCH(G$104,$C$9:$X$9,0)))</f>
        <v>5.3041763472814436</v>
      </c>
      <c r="H125" s="19">
        <f>2*(-1*INDEX('Desconto Processos'!$N$5:$S$32,MATCH(180-$A125,'Desconto Processos'!$A$5:$A$32,0),MATCH(H$104,'Desconto Processos'!$N$3:$S$3,0))+INDEX('Acrescimo Tangente'!$B$68:$W$95,MATCH($A125,$A$10:$A$37,0),MATCH(H$104,$C$9:$X$9,0)))</f>
        <v>5.5320505781284401</v>
      </c>
      <c r="I125" s="17">
        <v>0</v>
      </c>
      <c r="J125" s="19">
        <f>2*(-1*INDEX('Desconto Processos'!$N$5:$S$32,MATCH(180-$A125,'Desconto Processos'!$A$5:$A$32,0),MATCH(J$104,'Desconto Processos'!$N$3:$S$3,0))+INDEX('Acrescimo Tangente'!$B$68:$W$95,MATCH($A125,$A$10:$A$37,0),MATCH(J$104,$C$9:$X$9,0)))</f>
        <v>5.7738619243989344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9">
        <f>2*(-1*INDEX('Desconto Processos'!$N$5:$S$32,MATCH(180-$A125,'Desconto Processos'!$A$5:$A$32,0),MATCH(P$104,'Desconto Processos'!$N$3:$S$3,0))+INDEX('Acrescimo Tangente'!$B$68:$W$95,MATCH($A125,$A$10:$A$37,0),MATCH(P$104,$C$9:$X$9,0)))</f>
        <v>6.9271701940574122</v>
      </c>
      <c r="Q125" s="17">
        <v>0</v>
      </c>
      <c r="R125" s="17">
        <v>0</v>
      </c>
      <c r="S125" s="17">
        <v>0</v>
      </c>
      <c r="T125" s="17">
        <v>0</v>
      </c>
      <c r="U125" s="19">
        <f>2*(-1*INDEX('Desconto Processos'!$N$5:$S$32,MATCH(180-$A125,'Desconto Processos'!$A$5:$A$32,0),MATCH(U$104,'Desconto Processos'!$N$3:$S$3,0))+INDEX('Acrescimo Tangente'!$B$68:$W$95,MATCH($A125,$A$10:$A$37,0),MATCH(U$104,$C$9:$X$9,0)))</f>
        <v>7.8526042328688961</v>
      </c>
      <c r="V125" s="19">
        <f>2*(-1*INDEX('Desconto Processos'!$N$5:$S$32,MATCH(180-$A125,'Desconto Processos'!$A$5:$A$32,0),MATCH(V$104,'Desconto Processos'!$N$3:$S$3,0))+INDEX('Acrescimo Tangente'!$B$68:$W$95,MATCH($A125,$A$10:$A$37,0),MATCH(V$104,$C$9:$X$9,0)))</f>
        <v>8.3083526945628865</v>
      </c>
      <c r="W125" s="17">
        <v>0</v>
      </c>
      <c r="X125" s="17">
        <v>0</v>
      </c>
      <c r="Y125" s="17"/>
    </row>
    <row r="126" spans="1:25" s="6" customFormat="1" ht="15.75" x14ac:dyDescent="0.25">
      <c r="A126" s="11">
        <v>120</v>
      </c>
      <c r="B126" s="19">
        <v>1</v>
      </c>
      <c r="C126" s="17">
        <v>0</v>
      </c>
      <c r="D126" s="17">
        <v>0</v>
      </c>
      <c r="E126" s="17">
        <v>0</v>
      </c>
      <c r="F126" s="17">
        <v>0</v>
      </c>
      <c r="G126" s="19">
        <f>2*(-1*INDEX('Desconto Processos'!$N$5:$S$32,MATCH(180-$A126,'Desconto Processos'!$A$5:$A$32,0),MATCH(G$104,'Desconto Processos'!$N$3:$S$3,0))+INDEX('Acrescimo Tangente'!$B$68:$W$95,MATCH($A126,$A$10:$A$37,0),MATCH(G$104,$C$9:$X$9,0)))</f>
        <v>6.1458946838994883</v>
      </c>
      <c r="H126" s="19">
        <f>2*(-1*INDEX('Desconto Processos'!$N$5:$S$32,MATCH(180-$A126,'Desconto Processos'!$A$5:$A$32,0),MATCH(H$104,'Desconto Processos'!$N$3:$S$3,0))+INDEX('Acrescimo Tangente'!$B$68:$W$95,MATCH($A126,$A$10:$A$37,0),MATCH(H$104,$C$9:$X$9,0)))</f>
        <v>6.3387150069270399</v>
      </c>
      <c r="I126" s="17">
        <v>0</v>
      </c>
      <c r="J126" s="19">
        <f>2*(-1*INDEX('Desconto Processos'!$N$5:$S$32,MATCH(180-$A126,'Desconto Processos'!$A$5:$A$32,0),MATCH(J$104,'Desconto Processos'!$N$3:$S$3,0))+INDEX('Acrescimo Tangente'!$B$68:$W$95,MATCH($A126,$A$10:$A$37,0),MATCH(J$104,$C$9:$X$9,0)))</f>
        <v>6.6779454914683667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9">
        <f>2*(-1*INDEX('Desconto Processos'!$N$5:$S$32,MATCH(180-$A126,'Desconto Processos'!$A$5:$A$32,0),MATCH(P$104,'Desconto Processos'!$N$3:$S$3,0))+INDEX('Acrescimo Tangente'!$B$68:$W$95,MATCH($A126,$A$10:$A$37,0),MATCH(P$104,$C$9:$X$9,0)))</f>
        <v>8.0884572681198961</v>
      </c>
      <c r="Q126" s="17">
        <v>0</v>
      </c>
      <c r="R126" s="17">
        <v>0</v>
      </c>
      <c r="S126" s="17">
        <v>0</v>
      </c>
      <c r="T126" s="17">
        <v>0</v>
      </c>
      <c r="U126" s="19">
        <f>2*(-1*INDEX('Desconto Processos'!$N$5:$S$32,MATCH(180-$A126,'Desconto Processos'!$A$5:$A$32,0),MATCH(U$104,'Desconto Processos'!$N$3:$S$3,0))+INDEX('Acrescimo Tangente'!$B$68:$W$95,MATCH($A126,$A$10:$A$37,0),MATCH(U$104,$C$9:$X$9,0)))</f>
        <v>9.2061487217438778</v>
      </c>
      <c r="V126" s="19">
        <f>2*(-1*INDEX('Desconto Processos'!$N$5:$S$32,MATCH(180-$A126,'Desconto Processos'!$A$5:$A$32,0),MATCH(V$104,'Desconto Processos'!$N$3:$S$3,0))+INDEX('Acrescimo Tangente'!$B$68:$W$95,MATCH($A126,$A$10:$A$37,0),MATCH(V$104,$C$9:$X$9,0)))</f>
        <v>9.8917893677989781</v>
      </c>
      <c r="W126" s="17">
        <v>0</v>
      </c>
      <c r="X126" s="17">
        <v>0</v>
      </c>
      <c r="Y126" s="17"/>
    </row>
    <row r="127" spans="1:25" s="6" customFormat="1" ht="15.75" x14ac:dyDescent="0.25">
      <c r="A127" s="11">
        <v>125</v>
      </c>
      <c r="B127" s="19">
        <v>1</v>
      </c>
      <c r="C127" s="17">
        <v>0</v>
      </c>
      <c r="D127" s="17">
        <v>0</v>
      </c>
      <c r="E127" s="17">
        <v>0</v>
      </c>
      <c r="F127" s="17">
        <v>0</v>
      </c>
      <c r="G127" s="19">
        <f>2*(-1*INDEX('Desconto Processos'!$N$5:$S$32,MATCH(180-$A127,'Desconto Processos'!$A$5:$A$32,0),MATCH(G$104,'Desconto Processos'!$N$3:$S$3,0))+INDEX('Acrescimo Tangente'!$B$68:$W$95,MATCH($A127,$A$10:$A$37,0),MATCH(G$104,$C$9:$X$9,0)))</f>
        <v>7.0416963364327634</v>
      </c>
      <c r="H127" s="19">
        <f>2*(-1*INDEX('Desconto Processos'!$N$5:$S$32,MATCH(180-$A127,'Desconto Processos'!$A$5:$A$32,0),MATCH(H$104,'Desconto Processos'!$N$3:$S$3,0))+INDEX('Acrescimo Tangente'!$B$68:$W$95,MATCH($A127,$A$10:$A$37,0),MATCH(H$104,$C$9:$X$9,0)))</f>
        <v>7.3100891872212301</v>
      </c>
      <c r="I127" s="17">
        <v>0</v>
      </c>
      <c r="J127" s="19">
        <f>2*(-1*INDEX('Desconto Processos'!$N$5:$S$32,MATCH(180-$A127,'Desconto Processos'!$A$5:$A$32,0),MATCH(J$104,'Desconto Processos'!$N$3:$S$3,0))+INDEX('Acrescimo Tangente'!$B$68:$W$95,MATCH($A127,$A$10:$A$37,0),MATCH(J$104,$C$9:$X$9,0)))</f>
        <v>7.7626784634039288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9">
        <f>2*(-1*INDEX('Desconto Processos'!$N$5:$S$32,MATCH(180-$A127,'Desconto Processos'!$A$5:$A$32,0),MATCH(P$104,'Desconto Processos'!$N$3:$S$3,0))+INDEX('Acrescimo Tangente'!$B$68:$W$95,MATCH($A127,$A$10:$A$37,0),MATCH(P$104,$C$9:$X$9,0)))</f>
        <v>9.4888391427404937</v>
      </c>
      <c r="Q127" s="17">
        <v>0</v>
      </c>
      <c r="R127" s="17">
        <v>0</v>
      </c>
      <c r="S127" s="17">
        <v>0</v>
      </c>
      <c r="T127" s="17">
        <v>0</v>
      </c>
      <c r="U127" s="19">
        <f>2*(-1*INDEX('Desconto Processos'!$N$5:$S$32,MATCH(180-$A127,'Desconto Processos'!$A$5:$A$32,0),MATCH(U$104,'Desconto Processos'!$N$3:$S$3,0))+INDEX('Acrescimo Tangente'!$B$68:$W$95,MATCH($A127,$A$10:$A$37,0),MATCH(U$104,$C$9:$X$9,0)))</f>
        <v>11.146606971288593</v>
      </c>
      <c r="V127" s="19">
        <f>2*(-1*INDEX('Desconto Processos'!$N$5:$S$32,MATCH(180-$A127,'Desconto Processos'!$A$5:$A$32,0),MATCH(V$104,'Desconto Processos'!$N$3:$S$3,0))+INDEX('Acrescimo Tangente'!$B$68:$W$95,MATCH($A127,$A$10:$A$37,0),MATCH(V$104,$C$9:$X$9,0)))</f>
        <v>11.883392672865526</v>
      </c>
      <c r="W127" s="17">
        <v>0</v>
      </c>
      <c r="X127" s="17">
        <v>0</v>
      </c>
      <c r="Y127" s="17"/>
    </row>
    <row r="128" spans="1:25" s="6" customFormat="1" ht="15.75" x14ac:dyDescent="0.25">
      <c r="A128" s="11">
        <v>130</v>
      </c>
      <c r="B128" s="19">
        <v>1</v>
      </c>
      <c r="C128" s="17">
        <v>0</v>
      </c>
      <c r="D128" s="17">
        <v>0</v>
      </c>
      <c r="E128" s="17">
        <v>0</v>
      </c>
      <c r="F128" s="17">
        <v>0</v>
      </c>
      <c r="G128" s="19">
        <f>2*(-1*INDEX('Desconto Processos'!$N$5:$S$32,MATCH(180-$A128,'Desconto Processos'!$A$5:$A$32,0),MATCH(G$104,'Desconto Processos'!$N$3:$S$3,0))+INDEX('Acrescimo Tangente'!$B$68:$W$95,MATCH($A128,$A$10:$A$37,0),MATCH(G$104,$C$9:$X$9,0)))</f>
        <v>8.1381401389554409</v>
      </c>
      <c r="H128" s="19">
        <f>2*(-1*INDEX('Desconto Processos'!$N$5:$S$32,MATCH(180-$A128,'Desconto Processos'!$A$5:$A$32,0),MATCH(H$104,'Desconto Processos'!$N$3:$S$3,0))+INDEX('Acrescimo Tangente'!$B$68:$W$95,MATCH($A128,$A$10:$A$37,0),MATCH(H$104,$C$9:$X$9,0)))</f>
        <v>8.4959429071592645</v>
      </c>
      <c r="I128" s="17">
        <v>0</v>
      </c>
      <c r="J128" s="19">
        <f>2*(-1*INDEX('Desconto Processos'!$N$5:$S$32,MATCH(180-$A128,'Desconto Processos'!$A$5:$A$32,0),MATCH(J$104,'Desconto Processos'!$N$3:$S$3,0))+INDEX('Acrescimo Tangente'!$B$68:$W$95,MATCH($A128,$A$10:$A$37,0),MATCH(J$104,$C$9:$X$9,0)))</f>
        <v>9.0826470594649997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9">
        <f>2*(-1*INDEX('Desconto Processos'!$N$5:$S$32,MATCH(180-$A128,'Desconto Processos'!$A$5:$A$32,0),MATCH(P$104,'Desconto Processos'!$N$3:$S$3,0))+INDEX('Acrescimo Tangente'!$B$68:$W$95,MATCH($A128,$A$10:$A$37,0),MATCH(P$104,$C$9:$X$9,0)))</f>
        <v>11.200562284586029</v>
      </c>
      <c r="Q128" s="17">
        <v>0</v>
      </c>
      <c r="R128" s="17">
        <v>0</v>
      </c>
      <c r="S128" s="17">
        <v>0</v>
      </c>
      <c r="T128" s="17">
        <v>0</v>
      </c>
      <c r="U128" s="19">
        <f>2*(-1*INDEX('Desconto Processos'!$N$5:$S$32,MATCH(180-$A128,'Desconto Processos'!$A$5:$A$32,0),MATCH(U$104,'Desconto Processos'!$N$3:$S$3,0))+INDEX('Acrescimo Tangente'!$B$68:$W$95,MATCH($A128,$A$10:$A$37,0),MATCH(U$104,$C$9:$X$9,0)))</f>
        <v>13.460674741503237</v>
      </c>
      <c r="V128" s="19">
        <f>2*(-1*INDEX('Desconto Processos'!$N$5:$S$32,MATCH(180-$A128,'Desconto Processos'!$A$5:$A$32,0),MATCH(V$104,'Desconto Processos'!$N$3:$S$3,0))+INDEX('Acrescimo Tangente'!$B$68:$W$95,MATCH($A128,$A$10:$A$37,0),MATCH(V$104,$C$9:$X$9,0)))</f>
        <v>14.276280277910882</v>
      </c>
      <c r="W128" s="17">
        <v>0</v>
      </c>
      <c r="X128" s="17">
        <v>0</v>
      </c>
      <c r="Y128" s="17"/>
    </row>
    <row r="129" spans="1:26" s="6" customFormat="1" ht="15.75" x14ac:dyDescent="0.25">
      <c r="A129" s="11">
        <v>135</v>
      </c>
      <c r="B129" s="19">
        <v>1</v>
      </c>
      <c r="C129" s="17">
        <v>0</v>
      </c>
      <c r="D129" s="17">
        <v>0</v>
      </c>
      <c r="E129" s="17">
        <v>0</v>
      </c>
      <c r="F129" s="17">
        <v>0</v>
      </c>
      <c r="G129" s="19">
        <f>2*(-1*INDEX('Desconto Processos'!$N$5:$S$32,MATCH(180-$A129,'Desconto Processos'!$A$5:$A$32,0),MATCH(G$104,'Desconto Processos'!$N$3:$S$3,0))+INDEX('Acrescimo Tangente'!$B$68:$W$95,MATCH($A129,$A$10:$A$37,0),MATCH(G$104,$C$9:$X$9,0)))</f>
        <v>9.6024386617639514</v>
      </c>
      <c r="H129" s="19">
        <f>2*(-1*INDEX('Desconto Processos'!$N$5:$S$32,MATCH(180-$A129,'Desconto Processos'!$A$5:$A$32,0),MATCH(H$104,'Desconto Processos'!$N$3:$S$3,0))+INDEX('Acrescimo Tangente'!$B$68:$W$95,MATCH($A129,$A$10:$A$37,0),MATCH(H$104,$C$9:$X$9,0)))</f>
        <v>9.9681240867131891</v>
      </c>
      <c r="I129" s="17">
        <v>0</v>
      </c>
      <c r="J129" s="19">
        <f>2*(-1*INDEX('Desconto Processos'!$N$5:$S$32,MATCH(180-$A129,'Desconto Processos'!$A$5:$A$32,0),MATCH(J$104,'Desconto Processos'!$N$3:$S$3,0))+INDEX('Acrescimo Tangente'!$B$68:$W$95,MATCH($A129,$A$10:$A$37,0),MATCH(J$104,$C$9:$X$9,0)))</f>
        <v>10.716652224137047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9">
        <f>2*(-1*INDEX('Desconto Processos'!$N$5:$S$32,MATCH(180-$A129,'Desconto Processos'!$A$5:$A$32,0),MATCH(P$104,'Desconto Processos'!$N$3:$S$3,0))+INDEX('Acrescimo Tangente'!$B$68:$W$95,MATCH($A129,$A$10:$A$37,0),MATCH(P$104,$C$9:$X$9,0)))</f>
        <v>13.327922061357857</v>
      </c>
      <c r="Q129" s="17">
        <v>0</v>
      </c>
      <c r="R129" s="17">
        <v>0</v>
      </c>
      <c r="S129" s="17">
        <v>0</v>
      </c>
      <c r="T129" s="17">
        <v>0</v>
      </c>
      <c r="U129" s="19">
        <f>2*(-1*INDEX('Desconto Processos'!$N$5:$S$32,MATCH(180-$A129,'Desconto Processos'!$A$5:$A$32,0),MATCH(U$104,'Desconto Processos'!$N$3:$S$3,0))+INDEX('Acrescimo Tangente'!$B$68:$W$95,MATCH($A129,$A$10:$A$37,0),MATCH(U$104,$C$9:$X$9,0)))</f>
        <v>16.273506473629428</v>
      </c>
      <c r="V129" s="19">
        <f>2*(-1*INDEX('Desconto Processos'!$N$5:$S$32,MATCH(180-$A129,'Desconto Processos'!$A$5:$A$32,0),MATCH(V$104,'Desconto Processos'!$N$3:$S$3,0))+INDEX('Acrescimo Tangente'!$B$68:$W$95,MATCH($A129,$A$10:$A$37,0),MATCH(V$104,$C$9:$X$9,0)))</f>
        <v>17.404877323527902</v>
      </c>
      <c r="W129" s="17">
        <v>0</v>
      </c>
      <c r="X129" s="17">
        <v>0</v>
      </c>
      <c r="Y129" s="17"/>
    </row>
    <row r="130" spans="1:26" s="6" customFormat="1" ht="15.75" x14ac:dyDescent="0.25">
      <c r="A130" s="11">
        <v>140</v>
      </c>
      <c r="B130" s="19">
        <v>1</v>
      </c>
      <c r="C130" s="17">
        <v>0</v>
      </c>
      <c r="D130" s="17">
        <v>0</v>
      </c>
      <c r="E130" s="17">
        <v>0</v>
      </c>
      <c r="F130" s="17">
        <v>0</v>
      </c>
      <c r="G130" s="19">
        <f>2*(-1*INDEX('Desconto Processos'!$N$5:$S$32,MATCH(180-$A130,'Desconto Processos'!$A$5:$A$32,0),MATCH(G$104,'Desconto Processos'!$N$3:$S$3,0))+INDEX('Acrescimo Tangente'!$B$68:$W$95,MATCH($A130,$A$10:$A$37,0),MATCH(G$104,$C$9:$X$9,0)))</f>
        <v>11.335369032836809</v>
      </c>
      <c r="H130" s="19">
        <f>2*(-1*INDEX('Desconto Processos'!$N$5:$S$32,MATCH(180-$A130,'Desconto Processos'!$A$5:$A$32,0),MATCH(H$104,'Desconto Processos'!$N$3:$S$3,0))+INDEX('Acrescimo Tangente'!$B$68:$W$95,MATCH($A130,$A$10:$A$37,0),MATCH(H$104,$C$9:$X$9,0)))</f>
        <v>11.934360000618659</v>
      </c>
      <c r="I130" s="17">
        <v>0</v>
      </c>
      <c r="J130" s="19">
        <f>2*(-1*INDEX('Desconto Processos'!$N$5:$S$32,MATCH(180-$A130,'Desconto Processos'!$A$5:$A$32,0),MATCH(J$104,'Desconto Processos'!$N$3:$S$3,0))+INDEX('Acrescimo Tangente'!$B$68:$W$95,MATCH($A130,$A$10:$A$37,0),MATCH(J$104,$C$9:$X$9,0)))</f>
        <v>12.782846452291432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9">
        <f>2*(-1*INDEX('Desconto Processos'!$N$5:$S$32,MATCH(180-$A130,'Desconto Processos'!$A$5:$A$32,0),MATCH(P$104,'Desconto Processos'!$N$3:$S$3,0))+INDEX('Acrescimo Tangente'!$B$68:$W$95,MATCH($A130,$A$10:$A$37,0),MATCH(P$104,$C$9:$X$9,0)))</f>
        <v>16.227296775091602</v>
      </c>
      <c r="Q130" s="17">
        <v>0</v>
      </c>
      <c r="R130" s="17">
        <v>0</v>
      </c>
      <c r="S130" s="17">
        <v>0</v>
      </c>
      <c r="T130" s="17">
        <v>0</v>
      </c>
      <c r="U130" s="19">
        <f>2*(-1*INDEX('Desconto Processos'!$N$5:$S$32,MATCH(180-$A130,'Desconto Processos'!$A$5:$A$32,0),MATCH(U$104,'Desconto Processos'!$N$3:$S$3,0))+INDEX('Acrescimo Tangente'!$B$68:$W$95,MATCH($A130,$A$10:$A$37,0),MATCH(U$104,$C$9:$X$9,0)))</f>
        <v>19.772756130109922</v>
      </c>
      <c r="V130" s="19">
        <f>2*(-1*INDEX('Desconto Processos'!$N$5:$S$32,MATCH(180-$A130,'Desconto Processos'!$A$5:$A$32,0),MATCH(V$104,'Desconto Processos'!$N$3:$S$3,0))+INDEX('Acrescimo Tangente'!$B$68:$W$95,MATCH($A130,$A$10:$A$37,0),MATCH(V$104,$C$9:$X$9,0)))</f>
        <v>21.170738065673618</v>
      </c>
      <c r="W130" s="17">
        <v>0</v>
      </c>
      <c r="X130" s="17">
        <v>0</v>
      </c>
      <c r="Y130" s="17"/>
    </row>
    <row r="131" spans="1:26" s="6" customFormat="1" ht="15.75" x14ac:dyDescent="0.25">
      <c r="A131" s="11">
        <v>145</v>
      </c>
      <c r="B131" s="19">
        <v>1</v>
      </c>
      <c r="C131" s="17">
        <v>0</v>
      </c>
      <c r="D131" s="17">
        <v>0</v>
      </c>
      <c r="E131" s="17">
        <v>0</v>
      </c>
      <c r="F131" s="17">
        <v>0</v>
      </c>
      <c r="G131" s="19">
        <f>2*(-1*INDEX('Desconto Processos'!$N$5:$S$32,MATCH(180-$A131,'Desconto Processos'!$A$5:$A$32,0),MATCH(G$104,'Desconto Processos'!$N$3:$S$3,0))+INDEX('Acrescimo Tangente'!$B$68:$W$95,MATCH($A131,$A$10:$A$37,0),MATCH(G$104,$C$9:$X$9,0)))</f>
        <v>13.595249853706633</v>
      </c>
      <c r="H131" s="19">
        <f>2*(-1*INDEX('Desconto Processos'!$N$5:$S$32,MATCH(180-$A131,'Desconto Processos'!$A$5:$A$32,0),MATCH(H$104,'Desconto Processos'!$N$3:$S$3,0))+INDEX('Acrescimo Tangente'!$B$68:$W$95,MATCH($A131,$A$10:$A$37,0),MATCH(H$104,$C$9:$X$9,0)))</f>
        <v>14.363887774651918</v>
      </c>
      <c r="I131" s="17">
        <v>0</v>
      </c>
      <c r="J131" s="19">
        <f>2*(-1*INDEX('Desconto Processos'!$N$5:$S$32,MATCH(180-$A131,'Desconto Processos'!$A$5:$A$32,0),MATCH(J$104,'Desconto Processos'!$N$3:$S$3,0))+INDEX('Acrescimo Tangente'!$B$68:$W$95,MATCH($A131,$A$10:$A$37,0),MATCH(J$104,$C$9:$X$9,0)))</f>
        <v>15.466844656069846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9">
        <f>2*(-1*INDEX('Desconto Processos'!$N$5:$S$32,MATCH(180-$A131,'Desconto Processos'!$A$5:$A$32,0),MATCH(P$104,'Desconto Processos'!$N$3:$S$3,0))+INDEX('Acrescimo Tangente'!$B$68:$W$95,MATCH($A131,$A$10:$A$37,0),MATCH(P$104,$C$9:$X$9,0)))</f>
        <v>19.944353221268912</v>
      </c>
      <c r="Q131" s="17">
        <v>0</v>
      </c>
      <c r="R131" s="17">
        <v>0</v>
      </c>
      <c r="S131" s="17">
        <v>0</v>
      </c>
      <c r="T131" s="17">
        <v>0</v>
      </c>
      <c r="U131" s="19">
        <f>2*(-1*INDEX('Desconto Processos'!$N$5:$S$32,MATCH(180-$A131,'Desconto Processos'!$A$5:$A$32,0),MATCH(U$104,'Desconto Processos'!$N$3:$S$3,0))+INDEX('Acrescimo Tangente'!$B$68:$W$95,MATCH($A131,$A$10:$A$37,0),MATCH(U$104,$C$9:$X$9,0)))</f>
        <v>24.253223865522695</v>
      </c>
      <c r="V131" s="19">
        <f>2*(-1*INDEX('Desconto Processos'!$N$5:$S$32,MATCH(180-$A131,'Desconto Processos'!$A$5:$A$32,0),MATCH(V$104,'Desconto Processos'!$N$3:$S$3,0))+INDEX('Acrescimo Tangente'!$B$68:$W$95,MATCH($A131,$A$10:$A$37,0),MATCH(V$104,$C$9:$X$9,0)))</f>
        <v>25.990499707413267</v>
      </c>
      <c r="W131" s="17">
        <v>0</v>
      </c>
      <c r="X131" s="17">
        <v>0</v>
      </c>
      <c r="Y131" s="17"/>
    </row>
    <row r="132" spans="1:26" s="6" customFormat="1" ht="15.75" x14ac:dyDescent="0.25">
      <c r="A132" s="11">
        <v>150</v>
      </c>
      <c r="B132" s="19">
        <v>1</v>
      </c>
      <c r="C132" s="17">
        <v>0</v>
      </c>
      <c r="D132" s="17">
        <v>0</v>
      </c>
      <c r="E132" s="17">
        <v>0</v>
      </c>
      <c r="F132" s="17">
        <v>0</v>
      </c>
      <c r="G132" s="19">
        <f>2*(-1*INDEX('Desconto Processos'!$N$5:$S$32,MATCH(180-$A132,'Desconto Processos'!$A$5:$A$32,0),MATCH(G$104,'Desconto Processos'!$N$3:$S$3,0))+INDEX('Acrescimo Tangente'!$B$68:$W$95,MATCH($A132,$A$10:$A$37,0),MATCH(G$104,$C$9:$X$9,0)))</f>
        <v>16.745894683899486</v>
      </c>
      <c r="H132" s="19">
        <f>2*(-1*INDEX('Desconto Processos'!$N$5:$S$32,MATCH(180-$A132,'Desconto Processos'!$A$5:$A$32,0),MATCH(H$104,'Desconto Processos'!$N$3:$S$3,0))+INDEX('Acrescimo Tangente'!$B$68:$W$95,MATCH($A132,$A$10:$A$37,0),MATCH(H$104,$C$9:$X$9,0)))</f>
        <v>17.63871500692704</v>
      </c>
      <c r="I132" s="17">
        <v>0</v>
      </c>
      <c r="J132" s="19">
        <f>2*(-1*INDEX('Desconto Processos'!$N$5:$S$32,MATCH(180-$A132,'Desconto Processos'!$A$5:$A$32,0),MATCH(J$104,'Desconto Processos'!$N$3:$S$3,0))+INDEX('Acrescimo Tangente'!$B$68:$W$95,MATCH($A132,$A$10:$A$37,0),MATCH(J$104,$C$9:$X$9,0)))</f>
        <v>19.077945491468366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9">
        <f>2*(-1*INDEX('Desconto Processos'!$N$5:$S$32,MATCH(180-$A132,'Desconto Processos'!$A$5:$A$32,0),MATCH(P$104,'Desconto Processos'!$N$3:$S$3,0))+INDEX('Acrescimo Tangente'!$B$68:$W$95,MATCH($A132,$A$10:$A$37,0),MATCH(P$104,$C$9:$X$9,0)))</f>
        <v>24.988457268119898</v>
      </c>
      <c r="Q132" s="17">
        <v>0</v>
      </c>
      <c r="R132" s="17">
        <v>0</v>
      </c>
      <c r="S132" s="17">
        <v>0</v>
      </c>
      <c r="T132" s="17">
        <v>0</v>
      </c>
      <c r="U132" s="19">
        <f>2*(-1*INDEX('Desconto Processos'!$N$5:$S$32,MATCH(180-$A132,'Desconto Processos'!$A$5:$A$32,0),MATCH(U$104,'Desconto Processos'!$N$3:$S$3,0))+INDEX('Acrescimo Tangente'!$B$68:$W$95,MATCH($A132,$A$10:$A$37,0),MATCH(U$104,$C$9:$X$9,0)))</f>
        <v>30.206148721743876</v>
      </c>
      <c r="V132" s="19">
        <f>2*(-1*INDEX('Desconto Processos'!$N$5:$S$32,MATCH(180-$A132,'Desconto Processos'!$A$5:$A$32,0),MATCH(V$104,'Desconto Processos'!$N$3:$S$3,0))+INDEX('Acrescimo Tangente'!$B$68:$W$95,MATCH($A132,$A$10:$A$37,0),MATCH(V$104,$C$9:$X$9,0)))</f>
        <v>32.491789367798972</v>
      </c>
      <c r="W132" s="17">
        <v>0</v>
      </c>
      <c r="X132" s="17">
        <v>0</v>
      </c>
      <c r="Y132" s="17"/>
    </row>
    <row r="133" spans="1:26" ht="15.75" thickBot="1" x14ac:dyDescent="0.25">
      <c r="A133" s="7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6" ht="16.5" thickBot="1" x14ac:dyDescent="0.3">
      <c r="A134" s="8" t="s">
        <v>5</v>
      </c>
      <c r="B134" s="16">
        <v>1.9</v>
      </c>
      <c r="C134" s="2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6" ht="16.5" thickBot="1" x14ac:dyDescent="0.25">
      <c r="A135" s="114" t="s">
        <v>6</v>
      </c>
      <c r="B135" s="116" t="s">
        <v>7</v>
      </c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8"/>
    </row>
    <row r="136" spans="1:26" ht="16.5" thickBot="1" x14ac:dyDescent="0.3">
      <c r="A136" s="115"/>
      <c r="B136" s="18">
        <v>0.5</v>
      </c>
      <c r="C136" s="15">
        <v>1</v>
      </c>
      <c r="D136" s="15">
        <v>1.1000000000000001</v>
      </c>
      <c r="E136" s="18">
        <v>1.2</v>
      </c>
      <c r="F136" s="18">
        <v>1.3</v>
      </c>
      <c r="G136" s="15">
        <v>1.4</v>
      </c>
      <c r="H136" s="15">
        <v>1.6</v>
      </c>
      <c r="I136" s="18">
        <v>1.7</v>
      </c>
      <c r="J136" s="18">
        <v>1.9</v>
      </c>
      <c r="K136" s="15">
        <v>2</v>
      </c>
      <c r="L136" s="15">
        <v>2.2999999999999998</v>
      </c>
      <c r="M136" s="15">
        <v>2.5</v>
      </c>
      <c r="N136" s="18">
        <v>2.6</v>
      </c>
      <c r="O136" s="15">
        <v>2.7</v>
      </c>
      <c r="P136" s="15">
        <v>3</v>
      </c>
      <c r="Q136" s="15">
        <v>3.2</v>
      </c>
      <c r="R136" s="15">
        <v>3.3</v>
      </c>
      <c r="S136" s="18">
        <v>3.4</v>
      </c>
      <c r="T136" s="15">
        <v>3.7</v>
      </c>
      <c r="U136" s="15">
        <v>3.9</v>
      </c>
      <c r="V136" s="15">
        <v>4.3</v>
      </c>
      <c r="W136" s="15">
        <v>4.5</v>
      </c>
      <c r="X136" s="15">
        <v>5.5</v>
      </c>
      <c r="Y136" s="28"/>
      <c r="Z136" s="25"/>
    </row>
    <row r="137" spans="1:26" ht="15.75" x14ac:dyDescent="0.25">
      <c r="A137" s="11">
        <v>15</v>
      </c>
      <c r="B137" s="19">
        <v>1.2</v>
      </c>
      <c r="C137" s="17">
        <v>0</v>
      </c>
      <c r="D137" s="17">
        <v>0</v>
      </c>
      <c r="E137" s="19">
        <f>2*(-1*INDEX('Desconto Processos'!$T$5:$Y$32,MATCH(180-$A137,'Desconto Processos'!$A$5:$A$32,0),MATCH(E$136,'Desconto Processos'!$T$3:$Y$3,0))+INDEX('Acrescimo Tangente'!$B$100:$W$127,MATCH($A137,$A$10:$A$37,0),MATCH(E$136,$C$9:$X$9,0)))</f>
        <v>0.4</v>
      </c>
      <c r="F137" s="19">
        <f>2*(-1*INDEX('Desconto Processos'!$T$5:$Y$32,MATCH(180-$A137,'Desconto Processos'!$A$5:$A$32,0),MATCH(F$136,'Desconto Processos'!$T$3:$Y$3,0))+INDEX('Acrescimo Tangente'!$B$100:$W$127,MATCH($A137,$A$10:$A$37,0),MATCH(F$136,$C$9:$X$9,0)))</f>
        <v>0.3</v>
      </c>
      <c r="G137" s="17">
        <v>0</v>
      </c>
      <c r="H137" s="17">
        <v>0</v>
      </c>
      <c r="I137" s="19">
        <f>2*(-1*INDEX('Desconto Processos'!$T$5:$Y$32,MATCH(180-$A137,'Desconto Processos'!$A$5:$A$32,0),MATCH(I$136,'Desconto Processos'!$T$3:$Y$3,0))+INDEX('Acrescimo Tangente'!$B$100:$W$127,MATCH($A137,$A$10:$A$37,0),MATCH(I$136,$C$9:$X$9,0)))</f>
        <v>0.4</v>
      </c>
      <c r="J137" s="19">
        <f>2*(-1*INDEX('Desconto Processos'!$T$5:$Y$32,MATCH(180-$A137,'Desconto Processos'!$A$5:$A$32,0),MATCH(J$136,'Desconto Processos'!$T$3:$Y$3,0))+INDEX('Acrescimo Tangente'!$B$100:$W$127,MATCH($A137,$A$10:$A$37,0),MATCH(J$136,$C$9:$X$9,0)))</f>
        <v>0.4</v>
      </c>
      <c r="K137" s="17">
        <v>0</v>
      </c>
      <c r="L137" s="17">
        <v>0</v>
      </c>
      <c r="M137" s="17">
        <v>0</v>
      </c>
      <c r="N137" s="19">
        <f>2*(-1*INDEX('Desconto Processos'!$T$5:$Y$32,MATCH(180-$A137,'Desconto Processos'!$A$5:$A$32,0),MATCH(N$136,'Desconto Processos'!$T$3:$Y$3,0))+INDEX('Acrescimo Tangente'!$B$100:$W$127,MATCH($A137,$A$10:$A$37,0),MATCH(N$136,$C$9:$X$9,0)))</f>
        <v>0.4</v>
      </c>
      <c r="O137" s="17">
        <v>0</v>
      </c>
      <c r="P137" s="17">
        <v>0</v>
      </c>
      <c r="Q137" s="17">
        <v>0</v>
      </c>
      <c r="R137" s="17">
        <v>0</v>
      </c>
      <c r="S137" s="19">
        <f>2*(-1*INDEX('Desconto Processos'!$T$5:$Y$32,MATCH(180-$A137,'Desconto Processos'!$A$5:$A$32,0),MATCH(S$136,'Desconto Processos'!$T$3:$Y$3,0))+INDEX('Acrescimo Tangente'!$B$100:$W$127,MATCH($A137,$A$10:$A$37,0),MATCH(S$136,$C$9:$X$9,0)))</f>
        <v>0.4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28"/>
      <c r="Z137" s="25"/>
    </row>
    <row r="138" spans="1:26" ht="15.75" x14ac:dyDescent="0.25">
      <c r="A138" s="11">
        <v>20</v>
      </c>
      <c r="B138" s="19">
        <v>1.2</v>
      </c>
      <c r="C138" s="17">
        <v>0</v>
      </c>
      <c r="D138" s="17">
        <v>0</v>
      </c>
      <c r="E138" s="19">
        <f>2*(-1*INDEX('Desconto Processos'!$T$5:$Y$32,MATCH(180-$A138,'Desconto Processos'!$A$5:$A$32,0),MATCH(E$136,'Desconto Processos'!$T$3:$Y$3,0))+INDEX('Acrescimo Tangente'!$B$100:$W$127,MATCH($A138,$A$10:$A$37,0),MATCH(E$136,$C$9:$X$9,0)))</f>
        <v>0.5</v>
      </c>
      <c r="F138" s="19">
        <f>2*(-1*INDEX('Desconto Processos'!$T$5:$Y$32,MATCH(180-$A138,'Desconto Processos'!$A$5:$A$32,0),MATCH(F$136,'Desconto Processos'!$T$3:$Y$3,0))+INDEX('Acrescimo Tangente'!$B$100:$W$127,MATCH($A138,$A$10:$A$37,0),MATCH(F$136,$C$9:$X$9,0)))</f>
        <v>0.4</v>
      </c>
      <c r="G138" s="17">
        <v>0</v>
      </c>
      <c r="H138" s="17">
        <v>0</v>
      </c>
      <c r="I138" s="19">
        <f>2*(-1*INDEX('Desconto Processos'!$T$5:$Y$32,MATCH(180-$A138,'Desconto Processos'!$A$5:$A$32,0),MATCH(I$136,'Desconto Processos'!$T$3:$Y$3,0))+INDEX('Acrescimo Tangente'!$B$100:$W$127,MATCH($A138,$A$10:$A$37,0),MATCH(I$136,$C$9:$X$9,0)))</f>
        <v>0.4</v>
      </c>
      <c r="J138" s="19">
        <f>2*(-1*INDEX('Desconto Processos'!$T$5:$Y$32,MATCH(180-$A138,'Desconto Processos'!$A$5:$A$32,0),MATCH(J$136,'Desconto Processos'!$T$3:$Y$3,0))+INDEX('Acrescimo Tangente'!$B$100:$W$127,MATCH($A138,$A$10:$A$37,0),MATCH(J$136,$C$9:$X$9,0)))</f>
        <v>0.5</v>
      </c>
      <c r="K138" s="17">
        <v>0</v>
      </c>
      <c r="L138" s="17">
        <v>0</v>
      </c>
      <c r="M138" s="17">
        <v>0</v>
      </c>
      <c r="N138" s="19">
        <f>2*(-1*INDEX('Desconto Processos'!$T$5:$Y$32,MATCH(180-$A138,'Desconto Processos'!$A$5:$A$32,0),MATCH(N$136,'Desconto Processos'!$T$3:$Y$3,0))+INDEX('Acrescimo Tangente'!$B$100:$W$127,MATCH($A138,$A$10:$A$37,0),MATCH(N$136,$C$9:$X$9,0)))</f>
        <v>0.5</v>
      </c>
      <c r="O138" s="17">
        <v>0</v>
      </c>
      <c r="P138" s="17">
        <v>0</v>
      </c>
      <c r="Q138" s="17">
        <v>0</v>
      </c>
      <c r="R138" s="17">
        <v>0</v>
      </c>
      <c r="S138" s="19">
        <f>2*(-1*INDEX('Desconto Processos'!$T$5:$Y$32,MATCH(180-$A138,'Desconto Processos'!$A$5:$A$32,0),MATCH(S$136,'Desconto Processos'!$T$3:$Y$3,0))+INDEX('Acrescimo Tangente'!$B$100:$W$127,MATCH($A138,$A$10:$A$37,0),MATCH(S$136,$C$9:$X$9,0)))</f>
        <v>0.6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28"/>
      <c r="Z138" s="25"/>
    </row>
    <row r="139" spans="1:26" ht="15.75" x14ac:dyDescent="0.25">
      <c r="A139" s="11">
        <v>25</v>
      </c>
      <c r="B139" s="19">
        <v>1.2</v>
      </c>
      <c r="C139" s="17">
        <v>0</v>
      </c>
      <c r="D139" s="17">
        <v>0</v>
      </c>
      <c r="E139" s="19">
        <f>2*(-1*INDEX('Desconto Processos'!$T$5:$Y$32,MATCH(180-$A139,'Desconto Processos'!$A$5:$A$32,0),MATCH(E$136,'Desconto Processos'!$T$3:$Y$3,0))+INDEX('Acrescimo Tangente'!$B$100:$W$127,MATCH($A139,$A$10:$A$37,0),MATCH(E$136,$C$9:$X$9,0)))</f>
        <v>0.6</v>
      </c>
      <c r="F139" s="19">
        <f>2*(-1*INDEX('Desconto Processos'!$T$5:$Y$32,MATCH(180-$A139,'Desconto Processos'!$A$5:$A$32,0),MATCH(F$136,'Desconto Processos'!$T$3:$Y$3,0))+INDEX('Acrescimo Tangente'!$B$100:$W$127,MATCH($A139,$A$10:$A$37,0),MATCH(F$136,$C$9:$X$9,0)))</f>
        <v>0.5</v>
      </c>
      <c r="G139" s="17">
        <v>0</v>
      </c>
      <c r="H139" s="17">
        <v>0</v>
      </c>
      <c r="I139" s="19">
        <f>2*(-1*INDEX('Desconto Processos'!$T$5:$Y$32,MATCH(180-$A139,'Desconto Processos'!$A$5:$A$32,0),MATCH(I$136,'Desconto Processos'!$T$3:$Y$3,0))+INDEX('Acrescimo Tangente'!$B$100:$W$127,MATCH($A139,$A$10:$A$37,0),MATCH(I$136,$C$9:$X$9,0)))</f>
        <v>0.5</v>
      </c>
      <c r="J139" s="19">
        <f>2*(-1*INDEX('Desconto Processos'!$T$5:$Y$32,MATCH(180-$A139,'Desconto Processos'!$A$5:$A$32,0),MATCH(J$136,'Desconto Processos'!$T$3:$Y$3,0))+INDEX('Acrescimo Tangente'!$B$100:$W$127,MATCH($A139,$A$10:$A$37,0),MATCH(J$136,$C$9:$X$9,0)))</f>
        <v>0.6</v>
      </c>
      <c r="K139" s="17">
        <v>0</v>
      </c>
      <c r="L139" s="17">
        <v>0</v>
      </c>
      <c r="M139" s="17">
        <v>0</v>
      </c>
      <c r="N139" s="19">
        <f>2*(-1*INDEX('Desconto Processos'!$T$5:$Y$32,MATCH(180-$A139,'Desconto Processos'!$A$5:$A$32,0),MATCH(N$136,'Desconto Processos'!$T$3:$Y$3,0))+INDEX('Acrescimo Tangente'!$B$100:$W$127,MATCH($A139,$A$10:$A$37,0),MATCH(N$136,$C$9:$X$9,0)))</f>
        <v>0.6</v>
      </c>
      <c r="O139" s="17">
        <v>0</v>
      </c>
      <c r="P139" s="17">
        <v>0</v>
      </c>
      <c r="Q139" s="17">
        <v>0</v>
      </c>
      <c r="R139" s="17">
        <v>0</v>
      </c>
      <c r="S139" s="19">
        <f>2*(-1*INDEX('Desconto Processos'!$T$5:$Y$32,MATCH(180-$A139,'Desconto Processos'!$A$5:$A$32,0),MATCH(S$136,'Desconto Processos'!$T$3:$Y$3,0))+INDEX('Acrescimo Tangente'!$B$100:$W$127,MATCH($A139,$A$10:$A$37,0),MATCH(S$136,$C$9:$X$9,0)))</f>
        <v>0.7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28"/>
      <c r="Z139" s="25"/>
    </row>
    <row r="140" spans="1:26" ht="15.75" x14ac:dyDescent="0.25">
      <c r="A140" s="11">
        <v>30</v>
      </c>
      <c r="B140" s="19">
        <v>1.2</v>
      </c>
      <c r="C140" s="17">
        <v>0</v>
      </c>
      <c r="D140" s="17">
        <v>0</v>
      </c>
      <c r="E140" s="19">
        <f>2*(-1*INDEX('Desconto Processos'!$T$5:$Y$32,MATCH(180-$A140,'Desconto Processos'!$A$5:$A$32,0),MATCH(E$136,'Desconto Processos'!$T$3:$Y$3,0))+INDEX('Acrescimo Tangente'!$B$100:$W$127,MATCH($A140,$A$10:$A$37,0),MATCH(E$136,$C$9:$X$9,0)))</f>
        <v>0.6</v>
      </c>
      <c r="F140" s="19">
        <f>2*(-1*INDEX('Desconto Processos'!$T$5:$Y$32,MATCH(180-$A140,'Desconto Processos'!$A$5:$A$32,0),MATCH(F$136,'Desconto Processos'!$T$3:$Y$3,0))+INDEX('Acrescimo Tangente'!$B$100:$W$127,MATCH($A140,$A$10:$A$37,0),MATCH(F$136,$C$9:$X$9,0)))</f>
        <v>0.6</v>
      </c>
      <c r="G140" s="17">
        <v>0</v>
      </c>
      <c r="H140" s="17">
        <v>0</v>
      </c>
      <c r="I140" s="19">
        <f>2*(-1*INDEX('Desconto Processos'!$T$5:$Y$32,MATCH(180-$A140,'Desconto Processos'!$A$5:$A$32,0),MATCH(I$136,'Desconto Processos'!$T$3:$Y$3,0))+INDEX('Acrescimo Tangente'!$B$100:$W$127,MATCH($A140,$A$10:$A$37,0),MATCH(I$136,$C$9:$X$9,0)))</f>
        <v>0.7</v>
      </c>
      <c r="J140" s="19">
        <f>2*(-1*INDEX('Desconto Processos'!$T$5:$Y$32,MATCH(180-$A140,'Desconto Processos'!$A$5:$A$32,0),MATCH(J$136,'Desconto Processos'!$T$3:$Y$3,0))+INDEX('Acrescimo Tangente'!$B$100:$W$127,MATCH($A140,$A$10:$A$37,0),MATCH(J$136,$C$9:$X$9,0)))</f>
        <v>0.7</v>
      </c>
      <c r="K140" s="17">
        <v>0</v>
      </c>
      <c r="L140" s="17">
        <v>0</v>
      </c>
      <c r="M140" s="17">
        <v>0</v>
      </c>
      <c r="N140" s="19">
        <f>2*(-1*INDEX('Desconto Processos'!$T$5:$Y$32,MATCH(180-$A140,'Desconto Processos'!$A$5:$A$32,0),MATCH(N$136,'Desconto Processos'!$T$3:$Y$3,0))+INDEX('Acrescimo Tangente'!$B$100:$W$127,MATCH($A140,$A$10:$A$37,0),MATCH(N$136,$C$9:$X$9,0)))</f>
        <v>0.7</v>
      </c>
      <c r="O140" s="17">
        <v>0</v>
      </c>
      <c r="P140" s="17">
        <v>0</v>
      </c>
      <c r="Q140" s="17">
        <v>0</v>
      </c>
      <c r="R140" s="17">
        <v>0</v>
      </c>
      <c r="S140" s="19">
        <f>2*(-1*INDEX('Desconto Processos'!$T$5:$Y$32,MATCH(180-$A140,'Desconto Processos'!$A$5:$A$32,0),MATCH(S$136,'Desconto Processos'!$T$3:$Y$3,0))+INDEX('Acrescimo Tangente'!$B$100:$W$127,MATCH($A140,$A$10:$A$37,0),MATCH(S$136,$C$9:$X$9,0)))</f>
        <v>0.8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28"/>
      <c r="Z140" s="25"/>
    </row>
    <row r="141" spans="1:26" ht="15.75" x14ac:dyDescent="0.25">
      <c r="A141" s="11">
        <v>35</v>
      </c>
      <c r="B141" s="19">
        <v>1.2</v>
      </c>
      <c r="C141" s="17">
        <v>0</v>
      </c>
      <c r="D141" s="17">
        <v>0</v>
      </c>
      <c r="E141" s="19">
        <f>2*(-1*INDEX('Desconto Processos'!$T$5:$Y$32,MATCH(180-$A141,'Desconto Processos'!$A$5:$A$32,0),MATCH(E$136,'Desconto Processos'!$T$3:$Y$3,0))+INDEX('Acrescimo Tangente'!$B$100:$W$127,MATCH($A141,$A$10:$A$37,0),MATCH(E$136,$C$9:$X$9,0)))</f>
        <v>0.8</v>
      </c>
      <c r="F141" s="19">
        <f>2*(-1*INDEX('Desconto Processos'!$T$5:$Y$32,MATCH(180-$A141,'Desconto Processos'!$A$5:$A$32,0),MATCH(F$136,'Desconto Processos'!$T$3:$Y$3,0))+INDEX('Acrescimo Tangente'!$B$100:$W$127,MATCH($A141,$A$10:$A$37,0),MATCH(F$136,$C$9:$X$9,0)))</f>
        <v>0.8</v>
      </c>
      <c r="G141" s="17">
        <v>0</v>
      </c>
      <c r="H141" s="17">
        <v>0</v>
      </c>
      <c r="I141" s="19">
        <f>2*(-1*INDEX('Desconto Processos'!$T$5:$Y$32,MATCH(180-$A141,'Desconto Processos'!$A$5:$A$32,0),MATCH(I$136,'Desconto Processos'!$T$3:$Y$3,0))+INDEX('Acrescimo Tangente'!$B$100:$W$127,MATCH($A141,$A$10:$A$37,0),MATCH(I$136,$C$9:$X$9,0)))</f>
        <v>0.8</v>
      </c>
      <c r="J141" s="19">
        <f>2*(-1*INDEX('Desconto Processos'!$T$5:$Y$32,MATCH(180-$A141,'Desconto Processos'!$A$5:$A$32,0),MATCH(J$136,'Desconto Processos'!$T$3:$Y$3,0))+INDEX('Acrescimo Tangente'!$B$100:$W$127,MATCH($A141,$A$10:$A$37,0),MATCH(J$136,$C$9:$X$9,0)))</f>
        <v>0.8</v>
      </c>
      <c r="K141" s="17">
        <v>0</v>
      </c>
      <c r="L141" s="17">
        <v>0</v>
      </c>
      <c r="M141" s="17">
        <v>0</v>
      </c>
      <c r="N141" s="19">
        <f>2*(-1*INDEX('Desconto Processos'!$T$5:$Y$32,MATCH(180-$A141,'Desconto Processos'!$A$5:$A$32,0),MATCH(N$136,'Desconto Processos'!$T$3:$Y$3,0))+INDEX('Acrescimo Tangente'!$B$100:$W$127,MATCH($A141,$A$10:$A$37,0),MATCH(N$136,$C$9:$X$9,0)))</f>
        <v>0.8</v>
      </c>
      <c r="O141" s="17">
        <v>0</v>
      </c>
      <c r="P141" s="17">
        <v>0</v>
      </c>
      <c r="Q141" s="17">
        <v>0</v>
      </c>
      <c r="R141" s="17">
        <v>0</v>
      </c>
      <c r="S141" s="19">
        <f>2*(-1*INDEX('Desconto Processos'!$T$5:$Y$32,MATCH(180-$A141,'Desconto Processos'!$A$5:$A$32,0),MATCH(S$136,'Desconto Processos'!$T$3:$Y$3,0))+INDEX('Acrescimo Tangente'!$B$100:$W$127,MATCH($A141,$A$10:$A$37,0),MATCH(S$136,$C$9:$X$9,0)))</f>
        <v>1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28"/>
      <c r="Z141" s="25"/>
    </row>
    <row r="142" spans="1:26" ht="15.75" x14ac:dyDescent="0.25">
      <c r="A142" s="11">
        <v>40</v>
      </c>
      <c r="B142" s="19">
        <v>1.2</v>
      </c>
      <c r="C142" s="17">
        <v>0</v>
      </c>
      <c r="D142" s="17">
        <v>0</v>
      </c>
      <c r="E142" s="19">
        <f>2*(-1*INDEX('Desconto Processos'!$T$5:$Y$32,MATCH(180-$A142,'Desconto Processos'!$A$5:$A$32,0),MATCH(E$136,'Desconto Processos'!$T$3:$Y$3,0))+INDEX('Acrescimo Tangente'!$B$100:$W$127,MATCH($A142,$A$10:$A$37,0),MATCH(E$136,$C$9:$X$9,0)))</f>
        <v>1</v>
      </c>
      <c r="F142" s="19">
        <f>2*(-1*INDEX('Desconto Processos'!$T$5:$Y$32,MATCH(180-$A142,'Desconto Processos'!$A$5:$A$32,0),MATCH(F$136,'Desconto Processos'!$T$3:$Y$3,0))+INDEX('Acrescimo Tangente'!$B$100:$W$127,MATCH($A142,$A$10:$A$37,0),MATCH(F$136,$C$9:$X$9,0)))</f>
        <v>1</v>
      </c>
      <c r="G142" s="17">
        <v>0</v>
      </c>
      <c r="H142" s="17">
        <v>0</v>
      </c>
      <c r="I142" s="19">
        <f>2*(-1*INDEX('Desconto Processos'!$T$5:$Y$32,MATCH(180-$A142,'Desconto Processos'!$A$5:$A$32,0),MATCH(I$136,'Desconto Processos'!$T$3:$Y$3,0))+INDEX('Acrescimo Tangente'!$B$100:$W$127,MATCH($A142,$A$10:$A$37,0),MATCH(I$136,$C$9:$X$9,0)))</f>
        <v>1.1000000000000001</v>
      </c>
      <c r="J142" s="19">
        <f>2*(-1*INDEX('Desconto Processos'!$T$5:$Y$32,MATCH(180-$A142,'Desconto Processos'!$A$5:$A$32,0),MATCH(J$136,'Desconto Processos'!$T$3:$Y$3,0))+INDEX('Acrescimo Tangente'!$B$100:$W$127,MATCH($A142,$A$10:$A$37,0),MATCH(J$136,$C$9:$X$9,0)))</f>
        <v>1</v>
      </c>
      <c r="K142" s="17">
        <v>0</v>
      </c>
      <c r="L142" s="17">
        <v>0</v>
      </c>
      <c r="M142" s="17">
        <v>0</v>
      </c>
      <c r="N142" s="19">
        <f>2*(-1*INDEX('Desconto Processos'!$T$5:$Y$32,MATCH(180-$A142,'Desconto Processos'!$A$5:$A$32,0),MATCH(N$136,'Desconto Processos'!$T$3:$Y$3,0))+INDEX('Acrescimo Tangente'!$B$100:$W$127,MATCH($A142,$A$10:$A$37,0),MATCH(N$136,$C$9:$X$9,0)))</f>
        <v>1</v>
      </c>
      <c r="O142" s="17">
        <v>0</v>
      </c>
      <c r="P142" s="17">
        <v>0</v>
      </c>
      <c r="Q142" s="17">
        <v>0</v>
      </c>
      <c r="R142" s="17">
        <v>0</v>
      </c>
      <c r="S142" s="19">
        <f>2*(-1*INDEX('Desconto Processos'!$T$5:$Y$32,MATCH(180-$A142,'Desconto Processos'!$A$5:$A$32,0),MATCH(S$136,'Desconto Processos'!$T$3:$Y$3,0))+INDEX('Acrescimo Tangente'!$B$100:$W$127,MATCH($A142,$A$10:$A$37,0),MATCH(S$136,$C$9:$X$9,0)))</f>
        <v>1.2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28"/>
      <c r="Z142" s="25"/>
    </row>
    <row r="143" spans="1:26" ht="15.75" x14ac:dyDescent="0.25">
      <c r="A143" s="11">
        <v>45</v>
      </c>
      <c r="B143" s="19">
        <v>1.2</v>
      </c>
      <c r="C143" s="17">
        <v>0</v>
      </c>
      <c r="D143" s="17">
        <v>0</v>
      </c>
      <c r="E143" s="19">
        <f>2*(-1*INDEX('Desconto Processos'!$T$5:$Y$32,MATCH(180-$A143,'Desconto Processos'!$A$5:$A$32,0),MATCH(E$136,'Desconto Processos'!$T$3:$Y$3,0))+INDEX('Acrescimo Tangente'!$B$100:$W$127,MATCH($A143,$A$10:$A$37,0),MATCH(E$136,$C$9:$X$9,0)))</f>
        <v>1.2</v>
      </c>
      <c r="F143" s="19">
        <f>2*(-1*INDEX('Desconto Processos'!$T$5:$Y$32,MATCH(180-$A143,'Desconto Processos'!$A$5:$A$32,0),MATCH(F$136,'Desconto Processos'!$T$3:$Y$3,0))+INDEX('Acrescimo Tangente'!$B$100:$W$127,MATCH($A143,$A$10:$A$37,0),MATCH(F$136,$C$9:$X$9,0)))</f>
        <v>1.1000000000000001</v>
      </c>
      <c r="G143" s="17">
        <v>0</v>
      </c>
      <c r="H143" s="17">
        <v>0</v>
      </c>
      <c r="I143" s="19">
        <f>2*(-1*INDEX('Desconto Processos'!$T$5:$Y$32,MATCH(180-$A143,'Desconto Processos'!$A$5:$A$32,0),MATCH(I$136,'Desconto Processos'!$T$3:$Y$3,0))+INDEX('Acrescimo Tangente'!$B$100:$W$127,MATCH($A143,$A$10:$A$37,0),MATCH(I$136,$C$9:$X$9,0)))</f>
        <v>1.2</v>
      </c>
      <c r="J143" s="19">
        <f>2*(-1*INDEX('Desconto Processos'!$T$5:$Y$32,MATCH(180-$A143,'Desconto Processos'!$A$5:$A$32,0),MATCH(J$136,'Desconto Processos'!$T$3:$Y$3,0))+INDEX('Acrescimo Tangente'!$B$100:$W$127,MATCH($A143,$A$10:$A$37,0),MATCH(J$136,$C$9:$X$9,0)))</f>
        <v>1.2</v>
      </c>
      <c r="K143" s="17">
        <v>0</v>
      </c>
      <c r="L143" s="17">
        <v>0</v>
      </c>
      <c r="M143" s="17">
        <v>0</v>
      </c>
      <c r="N143" s="19">
        <f>2*(-1*INDEX('Desconto Processos'!$T$5:$Y$32,MATCH(180-$A143,'Desconto Processos'!$A$5:$A$32,0),MATCH(N$136,'Desconto Processos'!$T$3:$Y$3,0))+INDEX('Acrescimo Tangente'!$B$100:$W$127,MATCH($A143,$A$10:$A$37,0),MATCH(N$136,$C$9:$X$9,0)))</f>
        <v>1.3</v>
      </c>
      <c r="O143" s="17">
        <v>0</v>
      </c>
      <c r="P143" s="17">
        <v>0</v>
      </c>
      <c r="Q143" s="17">
        <v>0</v>
      </c>
      <c r="R143" s="17">
        <v>0</v>
      </c>
      <c r="S143" s="19">
        <f>2*(-1*INDEX('Desconto Processos'!$T$5:$Y$32,MATCH(180-$A143,'Desconto Processos'!$A$5:$A$32,0),MATCH(S$136,'Desconto Processos'!$T$3:$Y$3,0))+INDEX('Acrescimo Tangente'!$B$100:$W$127,MATCH($A143,$A$10:$A$37,0),MATCH(S$136,$C$9:$X$9,0)))</f>
        <v>1.4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28"/>
      <c r="Z143" s="25"/>
    </row>
    <row r="144" spans="1:26" ht="15.75" x14ac:dyDescent="0.25">
      <c r="A144" s="11">
        <v>50</v>
      </c>
      <c r="B144" s="19">
        <v>1.2</v>
      </c>
      <c r="C144" s="17">
        <v>0</v>
      </c>
      <c r="D144" s="17">
        <v>0</v>
      </c>
      <c r="E144" s="19">
        <f>2*(-1*INDEX('Desconto Processos'!$T$5:$Y$32,MATCH(180-$A144,'Desconto Processos'!$A$5:$A$32,0),MATCH(E$136,'Desconto Processos'!$T$3:$Y$3,0))+INDEX('Acrescimo Tangente'!$B$100:$W$127,MATCH($A144,$A$10:$A$37,0),MATCH(E$136,$C$9:$X$9,0)))</f>
        <v>1.3</v>
      </c>
      <c r="F144" s="19">
        <f>2*(-1*INDEX('Desconto Processos'!$T$5:$Y$32,MATCH(180-$A144,'Desconto Processos'!$A$5:$A$32,0),MATCH(F$136,'Desconto Processos'!$T$3:$Y$3,0))+INDEX('Acrescimo Tangente'!$B$100:$W$127,MATCH($A144,$A$10:$A$37,0),MATCH(F$136,$C$9:$X$9,0)))</f>
        <v>1.3</v>
      </c>
      <c r="G144" s="17">
        <v>0</v>
      </c>
      <c r="H144" s="17">
        <v>0</v>
      </c>
      <c r="I144" s="19">
        <f>2*(-1*INDEX('Desconto Processos'!$T$5:$Y$32,MATCH(180-$A144,'Desconto Processos'!$A$5:$A$32,0),MATCH(I$136,'Desconto Processos'!$T$3:$Y$3,0))+INDEX('Acrescimo Tangente'!$B$100:$W$127,MATCH($A144,$A$10:$A$37,0),MATCH(I$136,$C$9:$X$9,0)))</f>
        <v>1.4</v>
      </c>
      <c r="J144" s="19">
        <f>2*(-1*INDEX('Desconto Processos'!$T$5:$Y$32,MATCH(180-$A144,'Desconto Processos'!$A$5:$A$32,0),MATCH(J$136,'Desconto Processos'!$T$3:$Y$3,0))+INDEX('Acrescimo Tangente'!$B$100:$W$127,MATCH($A144,$A$10:$A$37,0),MATCH(J$136,$C$9:$X$9,0)))</f>
        <v>1.4</v>
      </c>
      <c r="K144" s="17">
        <v>0</v>
      </c>
      <c r="L144" s="17">
        <v>0</v>
      </c>
      <c r="M144" s="17">
        <v>0</v>
      </c>
      <c r="N144" s="19">
        <f>2*(-1*INDEX('Desconto Processos'!$T$5:$Y$32,MATCH(180-$A144,'Desconto Processos'!$A$5:$A$32,0),MATCH(N$136,'Desconto Processos'!$T$3:$Y$3,0))+INDEX('Acrescimo Tangente'!$B$100:$W$127,MATCH($A144,$A$10:$A$37,0),MATCH(N$136,$C$9:$X$9,0)))</f>
        <v>1.4</v>
      </c>
      <c r="O144" s="17">
        <v>0</v>
      </c>
      <c r="P144" s="17">
        <v>0</v>
      </c>
      <c r="Q144" s="17">
        <v>0</v>
      </c>
      <c r="R144" s="17">
        <v>0</v>
      </c>
      <c r="S144" s="19">
        <f>2*(-1*INDEX('Desconto Processos'!$T$5:$Y$32,MATCH(180-$A144,'Desconto Processos'!$A$5:$A$32,0),MATCH(S$136,'Desconto Processos'!$T$3:$Y$3,0))+INDEX('Acrescimo Tangente'!$B$100:$W$127,MATCH($A144,$A$10:$A$37,0),MATCH(S$136,$C$9:$X$9,0)))</f>
        <v>1.6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28"/>
      <c r="Z144" s="25"/>
    </row>
    <row r="145" spans="1:26" ht="15.75" x14ac:dyDescent="0.25">
      <c r="A145" s="11">
        <v>55</v>
      </c>
      <c r="B145" s="19">
        <v>1.2</v>
      </c>
      <c r="C145" s="17">
        <v>0</v>
      </c>
      <c r="D145" s="17">
        <v>0</v>
      </c>
      <c r="E145" s="19">
        <f>2*(-1*INDEX('Desconto Processos'!$T$5:$Y$32,MATCH(180-$A145,'Desconto Processos'!$A$5:$A$32,0),MATCH(E$136,'Desconto Processos'!$T$3:$Y$3,0))+INDEX('Acrescimo Tangente'!$B$100:$W$127,MATCH($A145,$A$10:$A$37,0),MATCH(E$136,$C$9:$X$9,0)))</f>
        <v>1.4</v>
      </c>
      <c r="F145" s="19">
        <f>2*(-1*INDEX('Desconto Processos'!$T$5:$Y$32,MATCH(180-$A145,'Desconto Processos'!$A$5:$A$32,0),MATCH(F$136,'Desconto Processos'!$T$3:$Y$3,0))+INDEX('Acrescimo Tangente'!$B$100:$W$127,MATCH($A145,$A$10:$A$37,0),MATCH(F$136,$C$9:$X$9,0)))</f>
        <v>1.5</v>
      </c>
      <c r="G145" s="17">
        <v>0</v>
      </c>
      <c r="H145" s="17">
        <v>0</v>
      </c>
      <c r="I145" s="19">
        <f>2*(-1*INDEX('Desconto Processos'!$T$5:$Y$32,MATCH(180-$A145,'Desconto Processos'!$A$5:$A$32,0),MATCH(I$136,'Desconto Processos'!$T$3:$Y$3,0))+INDEX('Acrescimo Tangente'!$B$100:$W$127,MATCH($A145,$A$10:$A$37,0),MATCH(I$136,$C$9:$X$9,0)))</f>
        <v>1.6</v>
      </c>
      <c r="J145" s="19">
        <f>2*(-1*INDEX('Desconto Processos'!$T$5:$Y$32,MATCH(180-$A145,'Desconto Processos'!$A$5:$A$32,0),MATCH(J$136,'Desconto Processos'!$T$3:$Y$3,0))+INDEX('Acrescimo Tangente'!$B$100:$W$127,MATCH($A145,$A$10:$A$37,0),MATCH(J$136,$C$9:$X$9,0)))</f>
        <v>1.6</v>
      </c>
      <c r="K145" s="17">
        <v>0</v>
      </c>
      <c r="L145" s="17">
        <v>0</v>
      </c>
      <c r="M145" s="17">
        <v>0</v>
      </c>
      <c r="N145" s="19">
        <f>2*(-1*INDEX('Desconto Processos'!$T$5:$Y$32,MATCH(180-$A145,'Desconto Processos'!$A$5:$A$32,0),MATCH(N$136,'Desconto Processos'!$T$3:$Y$3,0))+INDEX('Acrescimo Tangente'!$B$100:$W$127,MATCH($A145,$A$10:$A$37,0),MATCH(N$136,$C$9:$X$9,0)))</f>
        <v>1.8</v>
      </c>
      <c r="O145" s="17">
        <v>0</v>
      </c>
      <c r="P145" s="17">
        <v>0</v>
      </c>
      <c r="Q145" s="17">
        <v>0</v>
      </c>
      <c r="R145" s="17">
        <v>0</v>
      </c>
      <c r="S145" s="19">
        <f>2*(-1*INDEX('Desconto Processos'!$T$5:$Y$32,MATCH(180-$A145,'Desconto Processos'!$A$5:$A$32,0),MATCH(S$136,'Desconto Processos'!$T$3:$Y$3,0))+INDEX('Acrescimo Tangente'!$B$100:$W$127,MATCH($A145,$A$10:$A$37,0),MATCH(S$136,$C$9:$X$9,0)))</f>
        <v>1.8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28"/>
      <c r="Z145" s="25"/>
    </row>
    <row r="146" spans="1:26" ht="15.75" x14ac:dyDescent="0.25">
      <c r="A146" s="11">
        <v>60</v>
      </c>
      <c r="B146" s="19">
        <v>1.2</v>
      </c>
      <c r="C146" s="17">
        <v>0</v>
      </c>
      <c r="D146" s="17">
        <v>0</v>
      </c>
      <c r="E146" s="19">
        <f>2*(-1*INDEX('Desconto Processos'!$T$5:$Y$32,MATCH(180-$A146,'Desconto Processos'!$A$5:$A$32,0),MATCH(E$136,'Desconto Processos'!$T$3:$Y$3,0))+INDEX('Acrescimo Tangente'!$B$100:$W$127,MATCH($A146,$A$10:$A$37,0),MATCH(E$136,$C$9:$X$9,0)))</f>
        <v>1.6</v>
      </c>
      <c r="F146" s="19">
        <f>2*(-1*INDEX('Desconto Processos'!$T$5:$Y$32,MATCH(180-$A146,'Desconto Processos'!$A$5:$A$32,0),MATCH(F$136,'Desconto Processos'!$T$3:$Y$3,0))+INDEX('Acrescimo Tangente'!$B$100:$W$127,MATCH($A146,$A$10:$A$37,0),MATCH(F$136,$C$9:$X$9,0)))</f>
        <v>1.8</v>
      </c>
      <c r="G146" s="17">
        <v>0</v>
      </c>
      <c r="H146" s="17">
        <v>0</v>
      </c>
      <c r="I146" s="19">
        <f>2*(-1*INDEX('Desconto Processos'!$T$5:$Y$32,MATCH(180-$A146,'Desconto Processos'!$A$5:$A$32,0),MATCH(I$136,'Desconto Processos'!$T$3:$Y$3,0))+INDEX('Acrescimo Tangente'!$B$100:$W$127,MATCH($A146,$A$10:$A$37,0),MATCH(I$136,$C$9:$X$9,0)))</f>
        <v>1.8</v>
      </c>
      <c r="J146" s="19">
        <f>2*(-1*INDEX('Desconto Processos'!$T$5:$Y$32,MATCH(180-$A146,'Desconto Processos'!$A$5:$A$32,0),MATCH(J$136,'Desconto Processos'!$T$3:$Y$3,0))+INDEX('Acrescimo Tangente'!$B$100:$W$127,MATCH($A146,$A$10:$A$37,0),MATCH(J$136,$C$9:$X$9,0)))</f>
        <v>1.9</v>
      </c>
      <c r="K146" s="17">
        <v>0</v>
      </c>
      <c r="L146" s="17">
        <v>0</v>
      </c>
      <c r="M146" s="17">
        <v>0</v>
      </c>
      <c r="N146" s="19">
        <f>2*(-1*INDEX('Desconto Processos'!$T$5:$Y$32,MATCH(180-$A146,'Desconto Processos'!$A$5:$A$32,0),MATCH(N$136,'Desconto Processos'!$T$3:$Y$3,0))+INDEX('Acrescimo Tangente'!$B$100:$W$127,MATCH($A146,$A$10:$A$37,0),MATCH(N$136,$C$9:$X$9,0)))</f>
        <v>1.9</v>
      </c>
      <c r="O146" s="17">
        <v>0</v>
      </c>
      <c r="P146" s="17">
        <v>0</v>
      </c>
      <c r="Q146" s="17">
        <v>0</v>
      </c>
      <c r="R146" s="17">
        <v>0</v>
      </c>
      <c r="S146" s="19">
        <f>2*(-1*INDEX('Desconto Processos'!$T$5:$Y$32,MATCH(180-$A146,'Desconto Processos'!$A$5:$A$32,0),MATCH(S$136,'Desconto Processos'!$T$3:$Y$3,0))+INDEX('Acrescimo Tangente'!$B$100:$W$127,MATCH($A146,$A$10:$A$37,0),MATCH(S$136,$C$9:$X$9,0)))</f>
        <v>1.9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28"/>
      <c r="Z146" s="25"/>
    </row>
    <row r="147" spans="1:26" ht="15.75" x14ac:dyDescent="0.25">
      <c r="A147" s="11">
        <v>65</v>
      </c>
      <c r="B147" s="19">
        <v>1.2</v>
      </c>
      <c r="C147" s="17">
        <v>0</v>
      </c>
      <c r="D147" s="17">
        <v>0</v>
      </c>
      <c r="E147" s="19">
        <f>2*(-1*INDEX('Desconto Processos'!$T$5:$Y$32,MATCH(180-$A147,'Desconto Processos'!$A$5:$A$32,0),MATCH(E$136,'Desconto Processos'!$T$3:$Y$3,0))+INDEX('Acrescimo Tangente'!$B$100:$W$127,MATCH($A147,$A$10:$A$37,0),MATCH(E$136,$C$9:$X$9,0)))</f>
        <v>2</v>
      </c>
      <c r="F147" s="19">
        <f>2*(-1*INDEX('Desconto Processos'!$T$5:$Y$32,MATCH(180-$A147,'Desconto Processos'!$A$5:$A$32,0),MATCH(F$136,'Desconto Processos'!$T$3:$Y$3,0))+INDEX('Acrescimo Tangente'!$B$100:$W$127,MATCH($A147,$A$10:$A$37,0),MATCH(F$136,$C$9:$X$9,0)))</f>
        <v>2.1</v>
      </c>
      <c r="G147" s="17">
        <v>0</v>
      </c>
      <c r="H147" s="17">
        <v>0</v>
      </c>
      <c r="I147" s="19">
        <f>2*(-1*INDEX('Desconto Processos'!$T$5:$Y$32,MATCH(180-$A147,'Desconto Processos'!$A$5:$A$32,0),MATCH(I$136,'Desconto Processos'!$T$3:$Y$3,0))+INDEX('Acrescimo Tangente'!$B$100:$W$127,MATCH($A147,$A$10:$A$37,0),MATCH(I$136,$C$9:$X$9,0)))</f>
        <v>2.1</v>
      </c>
      <c r="J147" s="19">
        <f>2*(-1*INDEX('Desconto Processos'!$T$5:$Y$32,MATCH(180-$A147,'Desconto Processos'!$A$5:$A$32,0),MATCH(J$136,'Desconto Processos'!$T$3:$Y$3,0))+INDEX('Acrescimo Tangente'!$B$100:$W$127,MATCH($A147,$A$10:$A$37,0),MATCH(J$136,$C$9:$X$9,0)))</f>
        <v>2.2000000000000002</v>
      </c>
      <c r="K147" s="17">
        <v>0</v>
      </c>
      <c r="L147" s="17">
        <v>0</v>
      </c>
      <c r="M147" s="17">
        <v>0</v>
      </c>
      <c r="N147" s="19">
        <f>2*(-1*INDEX('Desconto Processos'!$T$5:$Y$32,MATCH(180-$A147,'Desconto Processos'!$A$5:$A$32,0),MATCH(N$136,'Desconto Processos'!$T$3:$Y$3,0))+INDEX('Acrescimo Tangente'!$B$100:$W$127,MATCH($A147,$A$10:$A$37,0),MATCH(N$136,$C$9:$X$9,0)))</f>
        <v>2.2000000000000002</v>
      </c>
      <c r="O147" s="17">
        <v>0</v>
      </c>
      <c r="P147" s="17">
        <v>0</v>
      </c>
      <c r="Q147" s="17">
        <v>0</v>
      </c>
      <c r="R147" s="17">
        <v>0</v>
      </c>
      <c r="S147" s="19">
        <f>2*(-1*INDEX('Desconto Processos'!$T$5:$Y$32,MATCH(180-$A147,'Desconto Processos'!$A$5:$A$32,0),MATCH(S$136,'Desconto Processos'!$T$3:$Y$3,0))+INDEX('Acrescimo Tangente'!$B$100:$W$127,MATCH($A147,$A$10:$A$37,0),MATCH(S$136,$C$9:$X$9,0)))</f>
        <v>2.4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28"/>
      <c r="Z147" s="25"/>
    </row>
    <row r="148" spans="1:26" ht="15.75" x14ac:dyDescent="0.25">
      <c r="A148" s="11">
        <v>70</v>
      </c>
      <c r="B148" s="19">
        <v>1.2</v>
      </c>
      <c r="C148" s="17">
        <v>0</v>
      </c>
      <c r="D148" s="17">
        <v>0</v>
      </c>
      <c r="E148" s="19">
        <f>2*(-1*INDEX('Desconto Processos'!$T$5:$Y$32,MATCH(180-$A148,'Desconto Processos'!$A$5:$A$32,0),MATCH(E$136,'Desconto Processos'!$T$3:$Y$3,0))+INDEX('Acrescimo Tangente'!$B$100:$W$127,MATCH($A148,$A$10:$A$37,0),MATCH(E$136,$C$9:$X$9,0)))</f>
        <v>2.4</v>
      </c>
      <c r="F148" s="19">
        <f>2*(-1*INDEX('Desconto Processos'!$T$5:$Y$32,MATCH(180-$A148,'Desconto Processos'!$A$5:$A$32,0),MATCH(F$136,'Desconto Processos'!$T$3:$Y$3,0))+INDEX('Acrescimo Tangente'!$B$100:$W$127,MATCH($A148,$A$10:$A$37,0),MATCH(F$136,$C$9:$X$9,0)))</f>
        <v>2.2999999999999998</v>
      </c>
      <c r="G148" s="17">
        <v>0</v>
      </c>
      <c r="H148" s="17">
        <v>0</v>
      </c>
      <c r="I148" s="19">
        <f>2*(-1*INDEX('Desconto Processos'!$T$5:$Y$32,MATCH(180-$A148,'Desconto Processos'!$A$5:$A$32,0),MATCH(I$136,'Desconto Processos'!$T$3:$Y$3,0))+INDEX('Acrescimo Tangente'!$B$100:$W$127,MATCH($A148,$A$10:$A$37,0),MATCH(I$136,$C$9:$X$9,0)))</f>
        <v>2.4</v>
      </c>
      <c r="J148" s="19">
        <f>2*(-1*INDEX('Desconto Processos'!$T$5:$Y$32,MATCH(180-$A148,'Desconto Processos'!$A$5:$A$32,0),MATCH(J$136,'Desconto Processos'!$T$3:$Y$3,0))+INDEX('Acrescimo Tangente'!$B$100:$W$127,MATCH($A148,$A$10:$A$37,0),MATCH(J$136,$C$9:$X$9,0)))</f>
        <v>2.4</v>
      </c>
      <c r="K148" s="17">
        <v>0</v>
      </c>
      <c r="L148" s="17">
        <v>0</v>
      </c>
      <c r="M148" s="17">
        <v>0</v>
      </c>
      <c r="N148" s="19">
        <f>2*(-1*INDEX('Desconto Processos'!$T$5:$Y$32,MATCH(180-$A148,'Desconto Processos'!$A$5:$A$32,0),MATCH(N$136,'Desconto Processos'!$T$3:$Y$3,0))+INDEX('Acrescimo Tangente'!$B$100:$W$127,MATCH($A148,$A$10:$A$37,0),MATCH(N$136,$C$9:$X$9,0)))</f>
        <v>2.5</v>
      </c>
      <c r="O148" s="17">
        <v>0</v>
      </c>
      <c r="P148" s="17">
        <v>0</v>
      </c>
      <c r="Q148" s="17">
        <v>0</v>
      </c>
      <c r="R148" s="17">
        <v>0</v>
      </c>
      <c r="S148" s="19">
        <f>2*(-1*INDEX('Desconto Processos'!$T$5:$Y$32,MATCH(180-$A148,'Desconto Processos'!$A$5:$A$32,0),MATCH(S$136,'Desconto Processos'!$T$3:$Y$3,0))+INDEX('Acrescimo Tangente'!$B$100:$W$127,MATCH($A148,$A$10:$A$37,0),MATCH(S$136,$C$9:$X$9,0)))</f>
        <v>2.9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28"/>
      <c r="Z148" s="25"/>
    </row>
    <row r="149" spans="1:26" ht="15.75" x14ac:dyDescent="0.25">
      <c r="A149" s="11">
        <v>75</v>
      </c>
      <c r="B149" s="19">
        <v>1.2</v>
      </c>
      <c r="C149" s="17">
        <v>0</v>
      </c>
      <c r="D149" s="17">
        <v>0</v>
      </c>
      <c r="E149" s="19">
        <f>2*(-1*INDEX('Desconto Processos'!$T$5:$Y$32,MATCH(180-$A149,'Desconto Processos'!$A$5:$A$32,0),MATCH(E$136,'Desconto Processos'!$T$3:$Y$3,0))+INDEX('Acrescimo Tangente'!$B$100:$W$127,MATCH($A149,$A$10:$A$37,0),MATCH(E$136,$C$9:$X$9,0)))</f>
        <v>2.6</v>
      </c>
      <c r="F149" s="19">
        <f>2*(-1*INDEX('Desconto Processos'!$T$5:$Y$32,MATCH(180-$A149,'Desconto Processos'!$A$5:$A$32,0),MATCH(F$136,'Desconto Processos'!$T$3:$Y$3,0))+INDEX('Acrescimo Tangente'!$B$100:$W$127,MATCH($A149,$A$10:$A$37,0),MATCH(F$136,$C$9:$X$9,0)))</f>
        <v>2.5</v>
      </c>
      <c r="G149" s="17">
        <v>0</v>
      </c>
      <c r="H149" s="17">
        <v>0</v>
      </c>
      <c r="I149" s="19">
        <f>2*(-1*INDEX('Desconto Processos'!$T$5:$Y$32,MATCH(180-$A149,'Desconto Processos'!$A$5:$A$32,0),MATCH(I$136,'Desconto Processos'!$T$3:$Y$3,0))+INDEX('Acrescimo Tangente'!$B$100:$W$127,MATCH($A149,$A$10:$A$37,0),MATCH(I$136,$C$9:$X$9,0)))</f>
        <v>2.7</v>
      </c>
      <c r="J149" s="19">
        <f>2*(-1*INDEX('Desconto Processos'!$T$5:$Y$32,MATCH(180-$A149,'Desconto Processos'!$A$5:$A$32,0),MATCH(J$136,'Desconto Processos'!$T$3:$Y$3,0))+INDEX('Acrescimo Tangente'!$B$100:$W$127,MATCH($A149,$A$10:$A$37,0),MATCH(J$136,$C$9:$X$9,0)))</f>
        <v>2.6</v>
      </c>
      <c r="K149" s="17">
        <v>0</v>
      </c>
      <c r="L149" s="17">
        <v>0</v>
      </c>
      <c r="M149" s="17">
        <v>0</v>
      </c>
      <c r="N149" s="19">
        <f>2*(-1*INDEX('Desconto Processos'!$T$5:$Y$32,MATCH(180-$A149,'Desconto Processos'!$A$5:$A$32,0),MATCH(N$136,'Desconto Processos'!$T$3:$Y$3,0))+INDEX('Acrescimo Tangente'!$B$100:$W$127,MATCH($A149,$A$10:$A$37,0),MATCH(N$136,$C$9:$X$9,0)))</f>
        <v>3</v>
      </c>
      <c r="O149" s="17">
        <v>0</v>
      </c>
      <c r="P149" s="17">
        <v>0</v>
      </c>
      <c r="Q149" s="17">
        <v>0</v>
      </c>
      <c r="R149" s="17">
        <v>0</v>
      </c>
      <c r="S149" s="19">
        <f>2*(-1*INDEX('Desconto Processos'!$T$5:$Y$32,MATCH(180-$A149,'Desconto Processos'!$A$5:$A$32,0),MATCH(S$136,'Desconto Processos'!$T$3:$Y$3,0))+INDEX('Acrescimo Tangente'!$B$100:$W$127,MATCH($A149,$A$10:$A$37,0),MATCH(S$136,$C$9:$X$9,0)))</f>
        <v>3.2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28"/>
      <c r="Z149" s="25"/>
    </row>
    <row r="150" spans="1:26" ht="15.75" x14ac:dyDescent="0.25">
      <c r="A150" s="11">
        <v>80</v>
      </c>
      <c r="B150" s="19">
        <v>1.2</v>
      </c>
      <c r="C150" s="17">
        <v>0</v>
      </c>
      <c r="D150" s="17">
        <v>0</v>
      </c>
      <c r="E150" s="19">
        <f>2*(-1*INDEX('Desconto Processos'!$T$5:$Y$32,MATCH(180-$A150,'Desconto Processos'!$A$5:$A$32,0),MATCH(E$136,'Desconto Processos'!$T$3:$Y$3,0))+INDEX('Acrescimo Tangente'!$B$100:$W$127,MATCH($A150,$A$10:$A$37,0),MATCH(E$136,$C$9:$X$9,0)))</f>
        <v>2.8</v>
      </c>
      <c r="F150" s="19">
        <f>2*(-1*INDEX('Desconto Processos'!$T$5:$Y$32,MATCH(180-$A150,'Desconto Processos'!$A$5:$A$32,0),MATCH(F$136,'Desconto Processos'!$T$3:$Y$3,0))+INDEX('Acrescimo Tangente'!$B$100:$W$127,MATCH($A150,$A$10:$A$37,0),MATCH(F$136,$C$9:$X$9,0)))</f>
        <v>2.9</v>
      </c>
      <c r="G150" s="17">
        <v>0</v>
      </c>
      <c r="H150" s="17">
        <v>0</v>
      </c>
      <c r="I150" s="19">
        <f>2*(-1*INDEX('Desconto Processos'!$T$5:$Y$32,MATCH(180-$A150,'Desconto Processos'!$A$5:$A$32,0),MATCH(I$136,'Desconto Processos'!$T$3:$Y$3,0))+INDEX('Acrescimo Tangente'!$B$100:$W$127,MATCH($A150,$A$10:$A$37,0),MATCH(I$136,$C$9:$X$9,0)))</f>
        <v>3</v>
      </c>
      <c r="J150" s="19">
        <f>2*(-1*INDEX('Desconto Processos'!$T$5:$Y$32,MATCH(180-$A150,'Desconto Processos'!$A$5:$A$32,0),MATCH(J$136,'Desconto Processos'!$T$3:$Y$3,0))+INDEX('Acrescimo Tangente'!$B$100:$W$127,MATCH($A150,$A$10:$A$37,0),MATCH(J$136,$C$9:$X$9,0)))</f>
        <v>3</v>
      </c>
      <c r="K150" s="17">
        <v>0</v>
      </c>
      <c r="L150" s="17">
        <v>0</v>
      </c>
      <c r="M150" s="17">
        <v>0</v>
      </c>
      <c r="N150" s="19">
        <f>2*(-1*INDEX('Desconto Processos'!$T$5:$Y$32,MATCH(180-$A150,'Desconto Processos'!$A$5:$A$32,0),MATCH(N$136,'Desconto Processos'!$T$3:$Y$3,0))+INDEX('Acrescimo Tangente'!$B$100:$W$127,MATCH($A150,$A$10:$A$37,0),MATCH(N$136,$C$9:$X$9,0)))</f>
        <v>3.6</v>
      </c>
      <c r="O150" s="17">
        <v>0</v>
      </c>
      <c r="P150" s="17">
        <v>0</v>
      </c>
      <c r="Q150" s="17">
        <v>0</v>
      </c>
      <c r="R150" s="17">
        <v>0</v>
      </c>
      <c r="S150" s="19">
        <f>2*(-1*INDEX('Desconto Processos'!$T$5:$Y$32,MATCH(180-$A150,'Desconto Processos'!$A$5:$A$32,0),MATCH(S$136,'Desconto Processos'!$T$3:$Y$3,0))+INDEX('Acrescimo Tangente'!$B$100:$W$127,MATCH($A150,$A$10:$A$37,0),MATCH(S$136,$C$9:$X$9,0)))</f>
        <v>3.6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28"/>
      <c r="Z150" s="25"/>
    </row>
    <row r="151" spans="1:26" ht="15.75" x14ac:dyDescent="0.25">
      <c r="A151" s="11">
        <v>85</v>
      </c>
      <c r="B151" s="19">
        <v>1.2</v>
      </c>
      <c r="C151" s="17">
        <v>0</v>
      </c>
      <c r="D151" s="17">
        <v>0</v>
      </c>
      <c r="E151" s="19">
        <f>2*(-1*INDEX('Desconto Processos'!$T$5:$Y$32,MATCH(180-$A151,'Desconto Processos'!$A$5:$A$32,0),MATCH(E$136,'Desconto Processos'!$T$3:$Y$3,0))+INDEX('Acrescimo Tangente'!$B$100:$W$127,MATCH($A151,$A$10:$A$37,0),MATCH(E$136,$C$9:$X$9,0)))</f>
        <v>3.1</v>
      </c>
      <c r="F151" s="19">
        <f>2*(-1*INDEX('Desconto Processos'!$T$5:$Y$32,MATCH(180-$A151,'Desconto Processos'!$A$5:$A$32,0),MATCH(F$136,'Desconto Processos'!$T$3:$Y$3,0))+INDEX('Acrescimo Tangente'!$B$100:$W$127,MATCH($A151,$A$10:$A$37,0),MATCH(F$136,$C$9:$X$9,0)))</f>
        <v>3.2</v>
      </c>
      <c r="G151" s="17">
        <v>0</v>
      </c>
      <c r="H151" s="17">
        <v>0</v>
      </c>
      <c r="I151" s="19">
        <f>2*(-1*INDEX('Desconto Processos'!$T$5:$Y$32,MATCH(180-$A151,'Desconto Processos'!$A$5:$A$32,0),MATCH(I$136,'Desconto Processos'!$T$3:$Y$3,0))+INDEX('Acrescimo Tangente'!$B$100:$W$127,MATCH($A151,$A$10:$A$37,0),MATCH(I$136,$C$9:$X$9,0)))</f>
        <v>3.3</v>
      </c>
      <c r="J151" s="19">
        <f>2*(-1*INDEX('Desconto Processos'!$T$5:$Y$32,MATCH(180-$A151,'Desconto Processos'!$A$5:$A$32,0),MATCH(J$136,'Desconto Processos'!$T$3:$Y$3,0))+INDEX('Acrescimo Tangente'!$B$100:$W$127,MATCH($A151,$A$10:$A$37,0),MATCH(J$136,$C$9:$X$9,0)))</f>
        <v>3.4</v>
      </c>
      <c r="K151" s="17">
        <v>0</v>
      </c>
      <c r="L151" s="17">
        <v>0</v>
      </c>
      <c r="M151" s="17">
        <v>0</v>
      </c>
      <c r="N151" s="19">
        <f>2*(-1*INDEX('Desconto Processos'!$T$5:$Y$32,MATCH(180-$A151,'Desconto Processos'!$A$5:$A$32,0),MATCH(N$136,'Desconto Processos'!$T$3:$Y$3,0))+INDEX('Acrescimo Tangente'!$B$100:$W$127,MATCH($A151,$A$10:$A$37,0),MATCH(N$136,$C$9:$X$9,0)))</f>
        <v>4</v>
      </c>
      <c r="O151" s="17">
        <v>0</v>
      </c>
      <c r="P151" s="17">
        <v>0</v>
      </c>
      <c r="Q151" s="17">
        <v>0</v>
      </c>
      <c r="R151" s="17">
        <v>0</v>
      </c>
      <c r="S151" s="19">
        <f>2*(-1*INDEX('Desconto Processos'!$T$5:$Y$32,MATCH(180-$A151,'Desconto Processos'!$A$5:$A$32,0),MATCH(S$136,'Desconto Processos'!$T$3:$Y$3,0))+INDEX('Acrescimo Tangente'!$B$100:$W$127,MATCH($A151,$A$10:$A$37,0),MATCH(S$136,$C$9:$X$9,0)))</f>
        <v>4.5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28"/>
      <c r="Z151" s="25"/>
    </row>
    <row r="152" spans="1:26" ht="15.75" x14ac:dyDescent="0.25">
      <c r="A152" s="20">
        <v>90</v>
      </c>
      <c r="B152" s="21">
        <v>1.2</v>
      </c>
      <c r="C152" s="21">
        <v>0</v>
      </c>
      <c r="D152" s="21">
        <v>0</v>
      </c>
      <c r="E152" s="21">
        <f>2*(-1*INDEX('Desconto Processos'!$T$5:$Y$32,MATCH(180-$A152,'Desconto Processos'!$A$5:$A$32,0),MATCH(E$136,'Desconto Processos'!$T$3:$Y$3,0))+INDEX('Acrescimo Tangente'!$B$100:$W$127,MATCH($A152,$A$10:$A$37,0),MATCH(E$136,$C$9:$X$9,0)))</f>
        <v>3.4</v>
      </c>
      <c r="F152" s="21">
        <f>2*(-1*INDEX('Desconto Processos'!$T$5:$Y$32,MATCH(180-$A152,'Desconto Processos'!$A$5:$A$32,0),MATCH(F$136,'Desconto Processos'!$T$3:$Y$3,0))+INDEX('Acrescimo Tangente'!$B$100:$W$127,MATCH($A152,$A$10:$A$37,0),MATCH(F$136,$C$9:$X$9,0)))</f>
        <v>3.5</v>
      </c>
      <c r="G152" s="21">
        <v>0</v>
      </c>
      <c r="H152" s="21">
        <v>0</v>
      </c>
      <c r="I152" s="21">
        <f>2*(-1*INDEX('Desconto Processos'!$T$5:$Y$32,MATCH(180-$A152,'Desconto Processos'!$A$5:$A$32,0),MATCH(I$136,'Desconto Processos'!$T$3:$Y$3,0))+INDEX('Acrescimo Tangente'!$B$100:$W$127,MATCH($A152,$A$10:$A$37,0),MATCH(I$136,$C$9:$X$9,0)))</f>
        <v>3.6</v>
      </c>
      <c r="J152" s="21">
        <f>2*(-1*INDEX('Desconto Processos'!$T$5:$Y$32,MATCH(180-$A152,'Desconto Processos'!$A$5:$A$32,0),MATCH(J$136,'Desconto Processos'!$T$3:$Y$3,0))+INDEX('Acrescimo Tangente'!$B$100:$W$127,MATCH($A152,$A$10:$A$37,0),MATCH(J$136,$C$9:$X$9,0)))</f>
        <v>3.9</v>
      </c>
      <c r="K152" s="21">
        <v>0</v>
      </c>
      <c r="L152" s="21">
        <v>0</v>
      </c>
      <c r="M152" s="21">
        <v>0</v>
      </c>
      <c r="N152" s="21">
        <f>2*(-1*INDEX('Desconto Processos'!$T$5:$Y$32,MATCH(180-$A152,'Desconto Processos'!$A$5:$A$32,0),MATCH(N$136,'Desconto Processos'!$T$3:$Y$3,0))+INDEX('Acrescimo Tangente'!$B$100:$W$127,MATCH($A152,$A$10:$A$37,0),MATCH(N$136,$C$9:$X$9,0)))</f>
        <v>4.4000000000000004</v>
      </c>
      <c r="O152" s="21">
        <v>0</v>
      </c>
      <c r="P152" s="21">
        <v>0</v>
      </c>
      <c r="Q152" s="21">
        <v>0</v>
      </c>
      <c r="R152" s="21">
        <v>0</v>
      </c>
      <c r="S152" s="21">
        <f>2*(-1*INDEX('Desconto Processos'!$T$5:$Y$32,MATCH(180-$A152,'Desconto Processos'!$A$5:$A$32,0),MATCH(S$136,'Desconto Processos'!$T$3:$Y$3,0))+INDEX('Acrescimo Tangente'!$B$100:$W$127,MATCH($A152,$A$10:$A$37,0),MATCH(S$136,$C$9:$X$9,0)))</f>
        <v>5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8"/>
      <c r="Z152" s="25"/>
    </row>
    <row r="153" spans="1:26" ht="15.75" x14ac:dyDescent="0.25">
      <c r="A153" s="11">
        <v>95</v>
      </c>
      <c r="B153" s="19">
        <v>1.2</v>
      </c>
      <c r="C153" s="17">
        <v>0</v>
      </c>
      <c r="D153" s="17">
        <v>0</v>
      </c>
      <c r="E153" s="19">
        <f>2*(-1*INDEX('Desconto Processos'!$T$5:$Y$32,MATCH(180-$A153,'Desconto Processos'!$A$5:$A$32,0),MATCH(E$136,'Desconto Processos'!$T$3:$Y$3,0))+INDEX('Acrescimo Tangente'!$B$100:$W$127,MATCH($A153,$A$10:$A$37,0),MATCH(E$136,$C$9:$X$9,0)))</f>
        <v>3.7661127066294826</v>
      </c>
      <c r="F153" s="19">
        <f>2*(-1*INDEX('Desconto Processos'!$T$5:$Y$32,MATCH(180-$A153,'Desconto Processos'!$A$5:$A$32,0),MATCH(F$136,'Desconto Processos'!$T$3:$Y$3,0))+INDEX('Acrescimo Tangente'!$B$100:$W$127,MATCH($A153,$A$10:$A$37,0),MATCH(F$136,$C$9:$X$9,0)))</f>
        <v>3.884374406843337</v>
      </c>
      <c r="G153" s="17">
        <v>0</v>
      </c>
      <c r="H153" s="17">
        <v>0</v>
      </c>
      <c r="I153" s="19">
        <f>2*(-1*INDEX('Desconto Processos'!$T$5:$Y$32,MATCH(180-$A153,'Desconto Processos'!$A$5:$A$32,0),MATCH(I$136,'Desconto Processos'!$T$3:$Y$3,0))+INDEX('Acrescimo Tangente'!$B$100:$W$127,MATCH($A153,$A$10:$A$37,0),MATCH(I$136,$C$9:$X$9,0)))</f>
        <v>4.0574212076987539</v>
      </c>
      <c r="J153" s="24">
        <f>2*(-1*INDEX('Desconto Processos'!$T$5:$Y$32,MATCH(180-$A153,'Desconto Processos'!$A$5:$A$32,0),MATCH(J$136,'Desconto Processos'!$T$3:$Y$3,0))+INDEX('Acrescimo Tangente'!$B$100:$W$127,MATCH($A153,$A$10:$A$37,0),MATCH(J$136,$C$9:$X$9,0)))</f>
        <v>4.2939446081264627</v>
      </c>
      <c r="K153" s="17">
        <v>0</v>
      </c>
      <c r="L153" s="17">
        <v>0</v>
      </c>
      <c r="M153" s="17">
        <v>0</v>
      </c>
      <c r="N153" s="19">
        <f>2*(-1*INDEX('Desconto Processos'!$T$5:$Y$32,MATCH(180-$A153,'Desconto Processos'!$A$5:$A$32,0),MATCH(N$136,'Desconto Processos'!$T$3:$Y$3,0))+INDEX('Acrescimo Tangente'!$B$100:$W$127,MATCH($A153,$A$10:$A$37,0),MATCH(N$136,$C$9:$X$9,0)))</f>
        <v>4.8217765096234428</v>
      </c>
      <c r="O153" s="17">
        <v>0</v>
      </c>
      <c r="P153" s="17">
        <v>0</v>
      </c>
      <c r="Q153" s="17">
        <v>0</v>
      </c>
      <c r="R153" s="17">
        <v>0</v>
      </c>
      <c r="S153" s="19">
        <f>2*(-1*INDEX('Desconto Processos'!$T$5:$Y$32,MATCH(180-$A153,'Desconto Processos'!$A$5:$A$32,0),MATCH(S$136,'Desconto Processos'!$T$3:$Y$3,0))+INDEX('Acrescimo Tangente'!$B$100:$W$127,MATCH($A153,$A$10:$A$37,0),MATCH(S$136,$C$9:$X$9,0)))</f>
        <v>5.3678701113342777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28"/>
      <c r="Z153" s="25"/>
    </row>
    <row r="154" spans="1:26" ht="15.75" x14ac:dyDescent="0.25">
      <c r="A154" s="11">
        <v>100</v>
      </c>
      <c r="B154" s="19">
        <v>1.2</v>
      </c>
      <c r="C154" s="17">
        <v>0</v>
      </c>
      <c r="D154" s="17">
        <v>0</v>
      </c>
      <c r="E154" s="19">
        <f>2*(-1*INDEX('Desconto Processos'!$T$5:$Y$32,MATCH(180-$A154,'Desconto Processos'!$A$5:$A$32,0),MATCH(E$136,'Desconto Processos'!$T$3:$Y$3,0))+INDEX('Acrescimo Tangente'!$B$100:$W$127,MATCH($A154,$A$10:$A$37,0),MATCH(E$136,$C$9:$X$9,0)))</f>
        <v>4.1888722740841029</v>
      </c>
      <c r="F154" s="19">
        <f>2*(-1*INDEX('Desconto Processos'!$T$5:$Y$32,MATCH(180-$A154,'Desconto Processos'!$A$5:$A$32,0),MATCH(F$136,'Desconto Processos'!$T$3:$Y$3,0))+INDEX('Acrescimo Tangente'!$B$100:$W$127,MATCH($A154,$A$10:$A$37,0),MATCH(F$136,$C$9:$X$9,0)))</f>
        <v>4.4272229926029443</v>
      </c>
      <c r="G154" s="17">
        <v>0</v>
      </c>
      <c r="H154" s="17">
        <v>0</v>
      </c>
      <c r="I154" s="19">
        <f>2*(-1*INDEX('Desconto Processos'!$T$5:$Y$32,MATCH(180-$A154,'Desconto Processos'!$A$5:$A$32,0),MATCH(I$136,'Desconto Processos'!$T$3:$Y$3,0))+INDEX('Acrescimo Tangente'!$B$100:$W$127,MATCH($A154,$A$10:$A$37,0),MATCH(I$136,$C$9:$X$9,0)))</f>
        <v>4.5806258666783126</v>
      </c>
      <c r="J154" s="24">
        <f>2*(-1*INDEX('Desconto Processos'!$T$5:$Y$32,MATCH(180-$A154,'Desconto Processos'!$A$5:$A$32,0),MATCH(J$136,'Desconto Processos'!$T$3:$Y$3,0))+INDEX('Acrescimo Tangente'!$B$100:$W$127,MATCH($A154,$A$10:$A$37,0),MATCH(J$136,$C$9:$X$9,0)))</f>
        <v>4.8573273037159961</v>
      </c>
      <c r="K154" s="17">
        <v>0</v>
      </c>
      <c r="L154" s="17">
        <v>0</v>
      </c>
      <c r="M154" s="17">
        <v>0</v>
      </c>
      <c r="N154" s="19">
        <f>2*(-1*INDEX('Desconto Processos'!$T$5:$Y$32,MATCH(180-$A154,'Desconto Processos'!$A$5:$A$32,0),MATCH(N$136,'Desconto Processos'!$T$3:$Y$3,0))+INDEX('Acrescimo Tangente'!$B$100:$W$127,MATCH($A154,$A$10:$A$37,0),MATCH(N$136,$C$9:$X$9,0)))</f>
        <v>5.3257823333478909</v>
      </c>
      <c r="O154" s="17">
        <v>0</v>
      </c>
      <c r="P154" s="17">
        <v>0</v>
      </c>
      <c r="Q154" s="17">
        <v>0</v>
      </c>
      <c r="R154" s="17">
        <v>0</v>
      </c>
      <c r="S154" s="19">
        <f>2*(-1*INDEX('Desconto Processos'!$T$5:$Y$32,MATCH(180-$A154,'Desconto Processos'!$A$5:$A$32,0),MATCH(S$136,'Desconto Processos'!$T$3:$Y$3,0))+INDEX('Acrescimo Tangente'!$B$100:$W$127,MATCH($A154,$A$10:$A$37,0),MATCH(S$136,$C$9:$X$9,0)))</f>
        <v>6.032588081498627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28"/>
      <c r="Z154" s="25"/>
    </row>
    <row r="155" spans="1:26" ht="15.75" x14ac:dyDescent="0.25">
      <c r="A155" s="11">
        <v>105</v>
      </c>
      <c r="B155" s="19">
        <v>1.2</v>
      </c>
      <c r="C155" s="17">
        <v>0</v>
      </c>
      <c r="D155" s="17">
        <v>0</v>
      </c>
      <c r="E155" s="19">
        <f>2*(-1*INDEX('Desconto Processos'!$T$5:$Y$32,MATCH(180-$A155,'Desconto Processos'!$A$5:$A$32,0),MATCH(E$136,'Desconto Processos'!$T$3:$Y$3,0))+INDEX('Acrescimo Tangente'!$B$100:$W$127,MATCH($A155,$A$10:$A$37,0),MATCH(E$136,$C$9:$X$9,0)))</f>
        <v>4.7799973116154746</v>
      </c>
      <c r="F155" s="19">
        <f>2*(-1*INDEX('Desconto Processos'!$T$5:$Y$32,MATCH(180-$A155,'Desconto Processos'!$A$5:$A$32,0),MATCH(F$136,'Desconto Processos'!$T$3:$Y$3,0))+INDEX('Acrescimo Tangente'!$B$100:$W$127,MATCH($A155,$A$10:$A$37,0),MATCH(F$136,$C$9:$X$9,0)))</f>
        <v>5.0406423861837162</v>
      </c>
      <c r="G155" s="17">
        <v>0</v>
      </c>
      <c r="H155" s="17">
        <v>0</v>
      </c>
      <c r="I155" s="19">
        <f>2*(-1*INDEX('Desconto Processos'!$T$5:$Y$32,MATCH(180-$A155,'Desconto Processos'!$A$5:$A$32,0),MATCH(I$136,'Desconto Processos'!$T$3:$Y$3,0))+INDEX('Acrescimo Tangente'!$B$100:$W$127,MATCH($A155,$A$10:$A$37,0),MATCH(I$136,$C$9:$X$9,0)))</f>
        <v>5.283222684456681</v>
      </c>
      <c r="J155" s="24">
        <f>2*(-1*INDEX('Desconto Processos'!$T$5:$Y$32,MATCH(180-$A155,'Desconto Processos'!$A$5:$A$32,0),MATCH(J$136,'Desconto Processos'!$T$3:$Y$3,0))+INDEX('Acrescimo Tangente'!$B$100:$W$127,MATCH($A155,$A$10:$A$37,0),MATCH(J$136,$C$9:$X$9,0)))</f>
        <v>5.5045128335931635</v>
      </c>
      <c r="K155" s="17">
        <v>0</v>
      </c>
      <c r="L155" s="17">
        <v>0</v>
      </c>
      <c r="M155" s="17">
        <v>0</v>
      </c>
      <c r="N155" s="19">
        <f>2*(-1*INDEX('Desconto Processos'!$T$5:$Y$32,MATCH(180-$A155,'Desconto Processos'!$A$5:$A$32,0),MATCH(N$136,'Desconto Processos'!$T$3:$Y$3,0))+INDEX('Acrescimo Tangente'!$B$100:$W$127,MATCH($A155,$A$10:$A$37,0),MATCH(N$136,$C$9:$X$9,0)))</f>
        <v>6.1290283555708509</v>
      </c>
      <c r="O155" s="17">
        <v>0</v>
      </c>
      <c r="P155" s="17">
        <v>0</v>
      </c>
      <c r="Q155" s="17">
        <v>0</v>
      </c>
      <c r="R155" s="17">
        <v>0</v>
      </c>
      <c r="S155" s="19">
        <f>2*(-1*INDEX('Desconto Processos'!$T$5:$Y$32,MATCH(180-$A155,'Desconto Processos'!$A$5:$A$32,0),MATCH(S$136,'Desconto Processos'!$T$3:$Y$3,0))+INDEX('Acrescimo Tangente'!$B$100:$W$127,MATCH($A155,$A$10:$A$37,0),MATCH(S$136,$C$9:$X$9,0)))</f>
        <v>6.8141889521167798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28"/>
      <c r="Z155" s="25"/>
    </row>
    <row r="156" spans="1:26" ht="15.75" x14ac:dyDescent="0.25">
      <c r="A156" s="11">
        <v>110</v>
      </c>
      <c r="B156" s="19">
        <v>1.2</v>
      </c>
      <c r="C156" s="17">
        <v>0</v>
      </c>
      <c r="D156" s="17">
        <v>0</v>
      </c>
      <c r="E156" s="19">
        <f>2*(-1*INDEX('Desconto Processos'!$T$5:$Y$32,MATCH(180-$A156,'Desconto Processos'!$A$5:$A$32,0),MATCH(E$136,'Desconto Processos'!$T$3:$Y$3,0))+INDEX('Acrescimo Tangente'!$B$100:$W$127,MATCH($A156,$A$10:$A$37,0),MATCH(E$136,$C$9:$X$9,0)))</f>
        <v>5.4545176418011101</v>
      </c>
      <c r="F156" s="19">
        <f>2*(-1*INDEX('Desconto Processos'!$T$5:$Y$32,MATCH(180-$A156,'Desconto Processos'!$A$5:$A$32,0),MATCH(F$136,'Desconto Processos'!$T$3:$Y$3,0))+INDEX('Acrescimo Tangente'!$B$100:$W$127,MATCH($A156,$A$10:$A$37,0),MATCH(F$136,$C$9:$X$9,0)))</f>
        <v>5.7401472431495337</v>
      </c>
      <c r="G156" s="17">
        <v>0</v>
      </c>
      <c r="H156" s="17">
        <v>0</v>
      </c>
      <c r="I156" s="19">
        <f>2*(-1*INDEX('Desconto Processos'!$T$5:$Y$32,MATCH(180-$A156,'Desconto Processos'!$A$5:$A$32,0),MATCH(I$136,'Desconto Processos'!$T$3:$Y$3,0))+INDEX('Acrescimo Tangente'!$B$100:$W$127,MATCH($A156,$A$10:$A$37,0),MATCH(I$136,$C$9:$X$9,0)))</f>
        <v>6.0826656485432249</v>
      </c>
      <c r="J156" s="24">
        <f>2*(-1*INDEX('Desconto Processos'!$T$5:$Y$32,MATCH(180-$A156,'Desconto Processos'!$A$5:$A$32,0),MATCH(J$136,'Desconto Processos'!$T$3:$Y$3,0))+INDEX('Acrescimo Tangente'!$B$100:$W$127,MATCH($A156,$A$10:$A$37,0),MATCH(J$136,$C$9:$X$9,0)))</f>
        <v>6.1539248512400713</v>
      </c>
      <c r="K156" s="17">
        <v>0</v>
      </c>
      <c r="L156" s="17">
        <v>0</v>
      </c>
      <c r="M156" s="17">
        <v>0</v>
      </c>
      <c r="N156" s="19">
        <f>2*(-1*INDEX('Desconto Processos'!$T$5:$Y$32,MATCH(180-$A156,'Desconto Processos'!$A$5:$A$32,0),MATCH(N$136,'Desconto Processos'!$T$3:$Y$3,0))+INDEX('Acrescimo Tangente'!$B$100:$W$127,MATCH($A156,$A$10:$A$37,0),MATCH(N$136,$C$9:$X$9,0)))</f>
        <v>6.8533320606790316</v>
      </c>
      <c r="O156" s="17">
        <v>0</v>
      </c>
      <c r="P156" s="17">
        <v>0</v>
      </c>
      <c r="Q156" s="17">
        <v>0</v>
      </c>
      <c r="R156" s="17">
        <v>0</v>
      </c>
      <c r="S156" s="19">
        <f>2*(-1*INDEX('Desconto Processos'!$T$5:$Y$32,MATCH(180-$A156,'Desconto Processos'!$A$5:$A$32,0),MATCH(S$136,'Desconto Processos'!$T$3:$Y$3,0))+INDEX('Acrescimo Tangente'!$B$100:$W$127,MATCH($A156,$A$10:$A$37,0),MATCH(S$136,$C$9:$X$9,0)))</f>
        <v>7.7383688714664149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28"/>
      <c r="Z156" s="25"/>
    </row>
    <row r="157" spans="1:26" ht="15.75" x14ac:dyDescent="0.25">
      <c r="A157" s="11">
        <v>115</v>
      </c>
      <c r="B157" s="19">
        <v>1.2</v>
      </c>
      <c r="C157" s="17">
        <v>0</v>
      </c>
      <c r="D157" s="17">
        <v>0</v>
      </c>
      <c r="E157" s="19">
        <f>2*(-1*INDEX('Desconto Processos'!$T$5:$Y$32,MATCH(180-$A157,'Desconto Processos'!$A$5:$A$32,0),MATCH(E$136,'Desconto Processos'!$T$3:$Y$3,0))+INDEX('Acrescimo Tangente'!$B$100:$W$127,MATCH($A157,$A$10:$A$37,0),MATCH(E$136,$C$9:$X$9,0)))</f>
        <v>6.1320505781284398</v>
      </c>
      <c r="F157" s="19">
        <f>2*(-1*INDEX('Desconto Processos'!$T$5:$Y$32,MATCH(180-$A157,'Desconto Processos'!$A$5:$A$32,0),MATCH(F$136,'Desconto Processos'!$T$3:$Y$3,0))+INDEX('Acrescimo Tangente'!$B$100:$W$127,MATCH($A157,$A$10:$A$37,0),MATCH(F$136,$C$9:$X$9,0)))</f>
        <v>6.4459876935519382</v>
      </c>
      <c r="G157" s="17">
        <v>0</v>
      </c>
      <c r="H157" s="17">
        <v>0</v>
      </c>
      <c r="I157" s="19">
        <f>2*(-1*INDEX('Desconto Processos'!$T$5:$Y$32,MATCH(180-$A157,'Desconto Processos'!$A$5:$A$32,0),MATCH(I$136,'Desconto Processos'!$T$3:$Y$3,0))+INDEX('Acrescimo Tangente'!$B$100:$W$127,MATCH($A157,$A$10:$A$37,0),MATCH(I$136,$C$9:$X$9,0)))</f>
        <v>6.9017361552459295</v>
      </c>
      <c r="J157" s="24">
        <f>2*(-1*INDEX('Desconto Processos'!$T$5:$Y$32,MATCH(180-$A157,'Desconto Processos'!$A$5:$A$32,0),MATCH(J$136,'Desconto Processos'!$T$3:$Y$3,0))+INDEX('Acrescimo Tangente'!$B$100:$W$127,MATCH($A157,$A$10:$A$37,0),MATCH(J$136,$C$9:$X$9,0)))</f>
        <v>7.0296103860929264</v>
      </c>
      <c r="K157" s="17">
        <v>0</v>
      </c>
      <c r="L157" s="17">
        <v>0</v>
      </c>
      <c r="M157" s="17">
        <v>0</v>
      </c>
      <c r="N157" s="19">
        <f>2*(-1*INDEX('Desconto Processos'!$T$5:$Y$32,MATCH(180-$A157,'Desconto Processos'!$A$5:$A$32,0),MATCH(N$136,'Desconto Processos'!$T$3:$Y$3,0))+INDEX('Acrescimo Tangente'!$B$100:$W$127,MATCH($A157,$A$10:$A$37,0),MATCH(N$136,$C$9:$X$9,0)))</f>
        <v>7.6271701940574124</v>
      </c>
      <c r="O157" s="17">
        <v>0</v>
      </c>
      <c r="P157" s="17">
        <v>0</v>
      </c>
      <c r="Q157" s="17">
        <v>0</v>
      </c>
      <c r="R157" s="17">
        <v>0</v>
      </c>
      <c r="S157" s="19">
        <f>2*(-1*INDEX('Desconto Processos'!$T$5:$Y$32,MATCH(180-$A157,'Desconto Processos'!$A$5:$A$32,0),MATCH(S$136,'Desconto Processos'!$T$3:$Y$3,0))+INDEX('Acrescimo Tangente'!$B$100:$W$127,MATCH($A157,$A$10:$A$37,0),MATCH(S$136,$C$9:$X$9,0)))</f>
        <v>8.7386671174453969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28"/>
      <c r="Z157" s="25"/>
    </row>
    <row r="158" spans="1:26" ht="15.75" x14ac:dyDescent="0.25">
      <c r="A158" s="11">
        <v>120</v>
      </c>
      <c r="B158" s="19">
        <v>1.2</v>
      </c>
      <c r="C158" s="17">
        <v>0</v>
      </c>
      <c r="D158" s="17">
        <v>0</v>
      </c>
      <c r="E158" s="19">
        <f>2*(-1*INDEX('Desconto Processos'!$T$5:$Y$32,MATCH(180-$A158,'Desconto Processos'!$A$5:$A$32,0),MATCH(E$136,'Desconto Processos'!$T$3:$Y$3,0))+INDEX('Acrescimo Tangente'!$B$100:$W$127,MATCH($A158,$A$10:$A$37,0),MATCH(E$136,$C$9:$X$9,0)))</f>
        <v>6.9387150069270405</v>
      </c>
      <c r="F158" s="19">
        <f>2*(-1*INDEX('Desconto Processos'!$T$5:$Y$32,MATCH(180-$A158,'Desconto Processos'!$A$5:$A$32,0),MATCH(F$136,'Desconto Processos'!$T$3:$Y$3,0))+INDEX('Acrescimo Tangente'!$B$100:$W$127,MATCH($A158,$A$10:$A$37,0),MATCH(F$136,$C$9:$X$9,0)))</f>
        <v>7.3851251684408163</v>
      </c>
      <c r="G158" s="17">
        <v>0</v>
      </c>
      <c r="H158" s="17">
        <v>0</v>
      </c>
      <c r="I158" s="19">
        <f>2*(-1*INDEX('Desconto Processos'!$T$5:$Y$32,MATCH(180-$A158,'Desconto Processos'!$A$5:$A$32,0),MATCH(I$136,'Desconto Processos'!$T$3:$Y$3,0))+INDEX('Acrescimo Tangente'!$B$100:$W$127,MATCH($A158,$A$10:$A$37,0),MATCH(I$136,$C$9:$X$9,0)))</f>
        <v>7.8707658144959165</v>
      </c>
      <c r="J158" s="24">
        <f>2*(-1*INDEX('Desconto Processos'!$T$5:$Y$32,MATCH(180-$A158,'Desconto Processos'!$A$5:$A$32,0),MATCH(J$136,'Desconto Processos'!$T$3:$Y$3,0))+INDEX('Acrescimo Tangente'!$B$100:$W$127,MATCH($A158,$A$10:$A$37,0),MATCH(J$136,$C$9:$X$9,0)))</f>
        <v>8.063586137523469</v>
      </c>
      <c r="K158" s="17">
        <v>0</v>
      </c>
      <c r="L158" s="17">
        <v>0</v>
      </c>
      <c r="M158" s="17">
        <v>0</v>
      </c>
      <c r="N158" s="19">
        <f>2*(-1*INDEX('Desconto Processos'!$T$5:$Y$32,MATCH(180-$A158,'Desconto Processos'!$A$5:$A$32,0),MATCH(N$136,'Desconto Processos'!$T$3:$Y$3,0))+INDEX('Acrescimo Tangente'!$B$100:$W$127,MATCH($A158,$A$10:$A$37,0),MATCH(N$136,$C$9:$X$9,0)))</f>
        <v>8.7884572681198971</v>
      </c>
      <c r="O158" s="17">
        <v>0</v>
      </c>
      <c r="P158" s="17">
        <v>0</v>
      </c>
      <c r="Q158" s="17">
        <v>0</v>
      </c>
      <c r="R158" s="17">
        <v>0</v>
      </c>
      <c r="S158" s="19">
        <f>2*(-1*INDEX('Desconto Processos'!$T$5:$Y$32,MATCH(180-$A158,'Desconto Processos'!$A$5:$A$32,0),MATCH(S$136,'Desconto Processos'!$T$3:$Y$3,0))+INDEX('Acrescimo Tangente'!$B$100:$W$127,MATCH($A158,$A$10:$A$37,0),MATCH(S$136,$C$9:$X$9,0)))</f>
        <v>9.9597385602301003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28"/>
      <c r="Z158" s="25"/>
    </row>
    <row r="159" spans="1:26" ht="15.75" x14ac:dyDescent="0.25">
      <c r="A159" s="11">
        <v>125</v>
      </c>
      <c r="B159" s="19">
        <v>1.2</v>
      </c>
      <c r="C159" s="17">
        <v>0</v>
      </c>
      <c r="D159" s="17">
        <v>0</v>
      </c>
      <c r="E159" s="19">
        <f>2*(-1*INDEX('Desconto Processos'!$T$5:$Y$32,MATCH(180-$A159,'Desconto Processos'!$A$5:$A$32,0),MATCH(E$136,'Desconto Processos'!$T$3:$Y$3,0))+INDEX('Acrescimo Tangente'!$B$100:$W$127,MATCH($A159,$A$10:$A$37,0),MATCH(E$136,$C$9:$X$9,0)))</f>
        <v>7.9100891872212289</v>
      </c>
      <c r="F159" s="19">
        <f>2*(-1*INDEX('Desconto Processos'!$T$5:$Y$32,MATCH(180-$A159,'Desconto Processos'!$A$5:$A$32,0),MATCH(F$136,'Desconto Processos'!$T$3:$Y$3,0))+INDEX('Acrescimo Tangente'!$B$100:$W$127,MATCH($A159,$A$10:$A$37,0),MATCH(F$136,$C$9:$X$9,0)))</f>
        <v>8.4942856126154638</v>
      </c>
      <c r="G159" s="17">
        <v>0</v>
      </c>
      <c r="H159" s="17">
        <v>0</v>
      </c>
      <c r="I159" s="19">
        <f>2*(-1*INDEX('Desconto Processos'!$T$5:$Y$32,MATCH(180-$A159,'Desconto Processos'!$A$5:$A$32,0),MATCH(I$136,'Desconto Processos'!$T$3:$Y$3,0))+INDEX('Acrescimo Tangente'!$B$100:$W$127,MATCH($A159,$A$10:$A$37,0),MATCH(I$136,$C$9:$X$9,0)))</f>
        <v>8.9310713141923941</v>
      </c>
      <c r="J159" s="24">
        <f>2*(-1*INDEX('Desconto Processos'!$T$5:$Y$32,MATCH(180-$A159,'Desconto Processos'!$A$5:$A$32,0),MATCH(J$136,'Desconto Processos'!$T$3:$Y$3,0))+INDEX('Acrescimo Tangente'!$B$100:$W$127,MATCH($A159,$A$10:$A$37,0),MATCH(J$136,$C$9:$X$9,0)))</f>
        <v>9.2994641649808614</v>
      </c>
      <c r="K159" s="17">
        <v>0</v>
      </c>
      <c r="L159" s="17">
        <v>0</v>
      </c>
      <c r="M159" s="17">
        <v>0</v>
      </c>
      <c r="N159" s="19">
        <f>2*(-1*INDEX('Desconto Processos'!$T$5:$Y$32,MATCH(180-$A159,'Desconto Processos'!$A$5:$A$32,0),MATCH(N$136,'Desconto Processos'!$T$3:$Y$3,0))+INDEX('Acrescimo Tangente'!$B$100:$W$127,MATCH($A159,$A$10:$A$37,0),MATCH(N$136,$C$9:$X$9,0)))</f>
        <v>10.388839142740494</v>
      </c>
      <c r="O159" s="17">
        <v>0</v>
      </c>
      <c r="P159" s="17">
        <v>0</v>
      </c>
      <c r="Q159" s="17">
        <v>0</v>
      </c>
      <c r="R159" s="17">
        <v>0</v>
      </c>
      <c r="S159" s="19">
        <f>2*(-1*INDEX('Desconto Processos'!$T$5:$Y$32,MATCH(180-$A159,'Desconto Processos'!$A$5:$A$32,0),MATCH(S$136,'Desconto Processos'!$T$3:$Y$3,0))+INDEX('Acrescimo Tangente'!$B$100:$W$127,MATCH($A159,$A$10:$A$37,0),MATCH(S$136,$C$9:$X$9,0)))</f>
        <v>11.66241054589436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28"/>
      <c r="Z159" s="25"/>
    </row>
    <row r="160" spans="1:26" ht="15.75" x14ac:dyDescent="0.25">
      <c r="A160" s="11">
        <v>130</v>
      </c>
      <c r="B160" s="19">
        <v>1.2</v>
      </c>
      <c r="C160" s="17">
        <v>0</v>
      </c>
      <c r="D160" s="17">
        <v>0</v>
      </c>
      <c r="E160" s="19">
        <f>2*(-1*INDEX('Desconto Processos'!$T$5:$Y$32,MATCH(180-$A160,'Desconto Processos'!$A$5:$A$32,0),MATCH(E$136,'Desconto Processos'!$T$3:$Y$3,0))+INDEX('Acrescimo Tangente'!$B$100:$W$127,MATCH($A160,$A$10:$A$37,0),MATCH(E$136,$C$9:$X$9,0)))</f>
        <v>9.0959429071592641</v>
      </c>
      <c r="F160" s="19">
        <f>2*(-1*INDEX('Desconto Processos'!$T$5:$Y$32,MATCH(180-$A160,'Desconto Processos'!$A$5:$A$32,0),MATCH(F$136,'Desconto Processos'!$T$3:$Y$3,0))+INDEX('Acrescimo Tangente'!$B$100:$W$127,MATCH($A160,$A$10:$A$37,0),MATCH(F$136,$C$9:$X$9,0)))</f>
        <v>9.7248442912611761</v>
      </c>
      <c r="G160" s="17">
        <v>0</v>
      </c>
      <c r="H160" s="17">
        <v>0</v>
      </c>
      <c r="I160" s="19">
        <f>2*(-1*INDEX('Desconto Processos'!$T$5:$Y$32,MATCH(180-$A160,'Desconto Processos'!$A$5:$A$32,0),MATCH(I$136,'Desconto Processos'!$T$3:$Y$3,0))+INDEX('Acrescimo Tangente'!$B$100:$W$127,MATCH($A160,$A$10:$A$37,0),MATCH(I$136,$C$9:$X$9,0)))</f>
        <v>10.340449827668822</v>
      </c>
      <c r="J160" s="24">
        <f>2*(-1*INDEX('Desconto Processos'!$T$5:$Y$32,MATCH(180-$A160,'Desconto Processos'!$A$5:$A$32,0),MATCH(J$136,'Desconto Processos'!$T$3:$Y$3,0))+INDEX('Acrescimo Tangente'!$B$100:$W$127,MATCH($A160,$A$10:$A$37,0),MATCH(J$136,$C$9:$X$9,0)))</f>
        <v>10.698252595872646</v>
      </c>
      <c r="K160" s="17">
        <v>0</v>
      </c>
      <c r="L160" s="17">
        <v>0</v>
      </c>
      <c r="M160" s="17">
        <v>0</v>
      </c>
      <c r="N160" s="19">
        <f>2*(-1*INDEX('Desconto Processos'!$T$5:$Y$32,MATCH(180-$A160,'Desconto Processos'!$A$5:$A$32,0),MATCH(N$136,'Desconto Processos'!$T$3:$Y$3,0))+INDEX('Acrescimo Tangente'!$B$100:$W$127,MATCH($A160,$A$10:$A$37,0),MATCH(N$136,$C$9:$X$9,0)))</f>
        <v>12.100562284586029</v>
      </c>
      <c r="O160" s="17">
        <v>0</v>
      </c>
      <c r="P160" s="17">
        <v>0</v>
      </c>
      <c r="Q160" s="17">
        <v>0</v>
      </c>
      <c r="R160" s="17">
        <v>0</v>
      </c>
      <c r="S160" s="19">
        <f>2*(-1*INDEX('Desconto Processos'!$T$5:$Y$32,MATCH(180-$A160,'Desconto Processos'!$A$5:$A$32,0),MATCH(S$136,'Desconto Processos'!$T$3:$Y$3,0))+INDEX('Acrescimo Tangente'!$B$100:$W$127,MATCH($A160,$A$10:$A$37,0),MATCH(S$136,$C$9:$X$9,0)))</f>
        <v>13.731773357401321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28"/>
      <c r="Z160" s="25"/>
    </row>
    <row r="161" spans="1:26" ht="15.75" x14ac:dyDescent="0.25">
      <c r="A161" s="11">
        <v>135</v>
      </c>
      <c r="B161" s="19">
        <v>1.2</v>
      </c>
      <c r="C161" s="17">
        <v>0</v>
      </c>
      <c r="D161" s="17">
        <v>0</v>
      </c>
      <c r="E161" s="19">
        <f>2*(-1*INDEX('Desconto Processos'!$T$5:$Y$32,MATCH(180-$A161,'Desconto Processos'!$A$5:$A$32,0),MATCH(E$136,'Desconto Processos'!$T$3:$Y$3,0))+INDEX('Acrescimo Tangente'!$B$100:$W$127,MATCH($A161,$A$10:$A$37,0),MATCH(E$136,$C$9:$X$9,0)))</f>
        <v>10.66812408671319</v>
      </c>
      <c r="F161" s="19">
        <f>2*(-1*INDEX('Desconto Processos'!$T$5:$Y$32,MATCH(180-$A161,'Desconto Processos'!$A$5:$A$32,0),MATCH(F$136,'Desconto Processos'!$T$3:$Y$3,0))+INDEX('Acrescimo Tangente'!$B$100:$W$127,MATCH($A161,$A$10:$A$37,0),MATCH(F$136,$C$9:$X$9,0)))</f>
        <v>11.250966799187811</v>
      </c>
      <c r="G161" s="17">
        <v>0</v>
      </c>
      <c r="H161" s="17">
        <v>0</v>
      </c>
      <c r="I161" s="19">
        <f>2*(-1*INDEX('Desconto Processos'!$T$5:$Y$32,MATCH(180-$A161,'Desconto Processos'!$A$5:$A$32,0),MATCH(I$136,'Desconto Processos'!$T$3:$Y$3,0))+INDEX('Acrescimo Tangente'!$B$100:$W$127,MATCH($A161,$A$10:$A$37,0),MATCH(I$136,$C$9:$X$9,0)))</f>
        <v>12.082337649086286</v>
      </c>
      <c r="J161" s="24">
        <f>2*(-1*INDEX('Desconto Processos'!$T$5:$Y$32,MATCH(180-$A161,'Desconto Processos'!$A$5:$A$32,0),MATCH(J$136,'Desconto Processos'!$T$3:$Y$3,0))+INDEX('Acrescimo Tangente'!$B$100:$W$127,MATCH($A161,$A$10:$A$37,0),MATCH(J$136,$C$9:$X$9,0)))</f>
        <v>12.548023074035523</v>
      </c>
      <c r="K161" s="17">
        <v>0</v>
      </c>
      <c r="L161" s="17">
        <v>0</v>
      </c>
      <c r="M161" s="17">
        <v>0</v>
      </c>
      <c r="N161" s="19">
        <f>2*(-1*INDEX('Desconto Processos'!$T$5:$Y$32,MATCH(180-$A161,'Desconto Processos'!$A$5:$A$32,0),MATCH(N$136,'Desconto Processos'!$T$3:$Y$3,0))+INDEX('Acrescimo Tangente'!$B$100:$W$127,MATCH($A161,$A$10:$A$37,0),MATCH(N$136,$C$9:$X$9,0)))</f>
        <v>14.227922061357857</v>
      </c>
      <c r="O161" s="17">
        <v>0</v>
      </c>
      <c r="P161" s="17">
        <v>0</v>
      </c>
      <c r="Q161" s="17">
        <v>0</v>
      </c>
      <c r="R161" s="17">
        <v>0</v>
      </c>
      <c r="S161" s="19">
        <f>2*(-1*INDEX('Desconto Processos'!$T$5:$Y$32,MATCH(180-$A161,'Desconto Processos'!$A$5:$A$32,0),MATCH(S$136,'Desconto Processos'!$T$3:$Y$3,0))+INDEX('Acrescimo Tangente'!$B$100:$W$127,MATCH($A161,$A$10:$A$37,0),MATCH(S$136,$C$9:$X$9,0)))</f>
        <v>16.490663761154806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28"/>
      <c r="Z161" s="25"/>
    </row>
    <row r="162" spans="1:26" ht="15.75" x14ac:dyDescent="0.25">
      <c r="A162" s="11">
        <v>140</v>
      </c>
      <c r="B162" s="19">
        <v>1.2</v>
      </c>
      <c r="C162" s="17">
        <v>0</v>
      </c>
      <c r="D162" s="17">
        <v>0</v>
      </c>
      <c r="E162" s="19">
        <f>2*(-1*INDEX('Desconto Processos'!$T$5:$Y$32,MATCH(180-$A162,'Desconto Processos'!$A$5:$A$32,0),MATCH(E$136,'Desconto Processos'!$T$3:$Y$3,0))+INDEX('Acrescimo Tangente'!$B$100:$W$127,MATCH($A162,$A$10:$A$37,0),MATCH(E$136,$C$9:$X$9,0)))</f>
        <v>12.634360000618658</v>
      </c>
      <c r="F162" s="19">
        <f>2*(-1*INDEX('Desconto Processos'!$T$5:$Y$32,MATCH(180-$A162,'Desconto Processos'!$A$5:$A$32,0),MATCH(F$136,'Desconto Processos'!$T$3:$Y$3,0))+INDEX('Acrescimo Tangente'!$B$100:$W$127,MATCH($A162,$A$10:$A$37,0),MATCH(F$136,$C$9:$X$9,0)))</f>
        <v>13.183855484509584</v>
      </c>
      <c r="G162" s="17">
        <v>0</v>
      </c>
      <c r="H162" s="17">
        <v>0</v>
      </c>
      <c r="I162" s="19">
        <f>2*(-1*INDEX('Desconto Processos'!$T$5:$Y$32,MATCH(180-$A162,'Desconto Processos'!$A$5:$A$32,0),MATCH(I$136,'Desconto Processos'!$T$3:$Y$3,0))+INDEX('Acrescimo Tangente'!$B$100:$W$127,MATCH($A162,$A$10:$A$37,0),MATCH(I$136,$C$9:$X$9,0)))</f>
        <v>14.281837420073279</v>
      </c>
      <c r="J162" s="24">
        <f>2*(-1*INDEX('Desconto Processos'!$T$5:$Y$32,MATCH(180-$A162,'Desconto Processos'!$A$5:$A$32,0),MATCH(J$136,'Desconto Processos'!$T$3:$Y$3,0))+INDEX('Acrescimo Tangente'!$B$100:$W$127,MATCH($A162,$A$10:$A$37,0),MATCH(J$136,$C$9:$X$9,0)))</f>
        <v>14.880828387855129</v>
      </c>
      <c r="K162" s="17">
        <v>0</v>
      </c>
      <c r="L162" s="17">
        <v>0</v>
      </c>
      <c r="M162" s="17">
        <v>0</v>
      </c>
      <c r="N162" s="19">
        <f>2*(-1*INDEX('Desconto Processos'!$T$5:$Y$32,MATCH(180-$A162,'Desconto Processos'!$A$5:$A$32,0),MATCH(N$136,'Desconto Processos'!$T$3:$Y$3,0))+INDEX('Acrescimo Tangente'!$B$100:$W$127,MATCH($A162,$A$10:$A$37,0),MATCH(N$136,$C$9:$X$9,0)))</f>
        <v>16.927296775091602</v>
      </c>
      <c r="O162" s="17">
        <v>0</v>
      </c>
      <c r="P162" s="17">
        <v>0</v>
      </c>
      <c r="Q162" s="17">
        <v>0</v>
      </c>
      <c r="R162" s="17">
        <v>0</v>
      </c>
      <c r="S162" s="19">
        <f>2*(-1*INDEX('Desconto Processos'!$T$5:$Y$32,MATCH(180-$A162,'Desconto Processos'!$A$5:$A$32,0),MATCH(S$136,'Desconto Processos'!$T$3:$Y$3,0))+INDEX('Acrescimo Tangente'!$B$100:$W$127,MATCH($A162,$A$10:$A$37,0),MATCH(S$136,$C$9:$X$9,0)))</f>
        <v>19.823260646218998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28"/>
      <c r="Z162" s="25"/>
    </row>
    <row r="163" spans="1:26" ht="15.75" x14ac:dyDescent="0.25">
      <c r="A163" s="11">
        <v>145</v>
      </c>
      <c r="B163" s="19">
        <v>1.2</v>
      </c>
      <c r="C163" s="17">
        <v>0</v>
      </c>
      <c r="D163" s="17">
        <v>0</v>
      </c>
      <c r="E163" s="19">
        <f>2*(-1*INDEX('Desconto Processos'!$T$5:$Y$32,MATCH(180-$A163,'Desconto Processos'!$A$5:$A$32,0),MATCH(E$136,'Desconto Processos'!$T$3:$Y$3,0))+INDEX('Acrescimo Tangente'!$B$100:$W$127,MATCH($A163,$A$10:$A$37,0),MATCH(E$136,$C$9:$X$9,0)))</f>
        <v>15.063887774651917</v>
      </c>
      <c r="F163" s="19">
        <f>2*(-1*INDEX('Desconto Processos'!$T$5:$Y$32,MATCH(180-$A163,'Desconto Processos'!$A$5:$A$32,0),MATCH(F$136,'Desconto Processos'!$T$3:$Y$3,0))+INDEX('Acrescimo Tangente'!$B$100:$W$127,MATCH($A163,$A$10:$A$37,0),MATCH(F$136,$C$9:$X$9,0)))</f>
        <v>15.59820673512456</v>
      </c>
      <c r="G163" s="17">
        <v>0</v>
      </c>
      <c r="H163" s="17">
        <v>0</v>
      </c>
      <c r="I163" s="19">
        <f>2*(-1*INDEX('Desconto Processos'!$T$5:$Y$32,MATCH(180-$A163,'Desconto Processos'!$A$5:$A$32,0),MATCH(I$136,'Desconto Processos'!$T$3:$Y$3,0))+INDEX('Acrescimo Tangente'!$B$100:$W$127,MATCH($A163,$A$10:$A$37,0),MATCH(I$136,$C$9:$X$9,0)))</f>
        <v>17.135482577015129</v>
      </c>
      <c r="J163" s="24">
        <f>2*(-1*INDEX('Desconto Processos'!$T$5:$Y$32,MATCH(180-$A163,'Desconto Processos'!$A$5:$A$32,0),MATCH(J$136,'Desconto Processos'!$T$3:$Y$3,0))+INDEX('Acrescimo Tangente'!$B$100:$W$127,MATCH($A163,$A$10:$A$37,0),MATCH(J$136,$C$9:$X$9,0)))</f>
        <v>17.904120497960413</v>
      </c>
      <c r="K163" s="17">
        <v>0</v>
      </c>
      <c r="L163" s="17">
        <v>0</v>
      </c>
      <c r="M163" s="17">
        <v>0</v>
      </c>
      <c r="N163" s="19">
        <f>2*(-1*INDEX('Desconto Processos'!$T$5:$Y$32,MATCH(180-$A163,'Desconto Processos'!$A$5:$A$32,0),MATCH(N$136,'Desconto Processos'!$T$3:$Y$3,0))+INDEX('Acrescimo Tangente'!$B$100:$W$127,MATCH($A163,$A$10:$A$37,0),MATCH(N$136,$C$9:$X$9,0)))</f>
        <v>20.444353221268912</v>
      </c>
      <c r="O163" s="17">
        <v>0</v>
      </c>
      <c r="P163" s="17">
        <v>0</v>
      </c>
      <c r="Q163" s="17">
        <v>0</v>
      </c>
      <c r="R163" s="17">
        <v>0</v>
      </c>
      <c r="S163" s="19">
        <f>2*(-1*INDEX('Desconto Processos'!$T$5:$Y$32,MATCH(180-$A163,'Desconto Processos'!$A$5:$A$32,0),MATCH(S$136,'Desconto Processos'!$T$3:$Y$3,0))+INDEX('Acrescimo Tangente'!$B$100:$W$127,MATCH($A163,$A$10:$A$37,0),MATCH(S$136,$C$9:$X$9,0)))</f>
        <v>24.018904905050054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28"/>
      <c r="Z163" s="25"/>
    </row>
    <row r="164" spans="1:26" ht="15.75" x14ac:dyDescent="0.25">
      <c r="A164" s="11">
        <v>150</v>
      </c>
      <c r="B164" s="19">
        <v>1.2</v>
      </c>
      <c r="C164" s="17">
        <v>0</v>
      </c>
      <c r="D164" s="17">
        <v>0</v>
      </c>
      <c r="E164" s="24">
        <f>2*(-1*INDEX('Desconto Processos'!$T$5:$Y$32,MATCH(180-$A164,'Desconto Processos'!$A$5:$A$32,0),MATCH(E$136,'Desconto Processos'!$T$3:$Y$3,0))+INDEX('Acrescimo Tangente'!$B$100:$W$127,MATCH($A164,$A$10:$A$37,0),MATCH(E$136,$C$9:$X$9,0)))</f>
        <v>18.338715006927035</v>
      </c>
      <c r="F164" s="24">
        <f>2*(-1*INDEX('Desconto Processos'!$T$5:$Y$32,MATCH(180-$A164,'Desconto Processos'!$A$5:$A$32,0),MATCH(F$136,'Desconto Processos'!$T$3:$Y$3,0))+INDEX('Acrescimo Tangente'!$B$100:$W$127,MATCH($A164,$A$10:$A$37,0),MATCH(F$136,$C$9:$X$9,0)))</f>
        <v>18.985125168440817</v>
      </c>
      <c r="G164" s="17">
        <v>0</v>
      </c>
      <c r="H164" s="17">
        <v>0</v>
      </c>
      <c r="I164" s="24">
        <f>2*(-1*INDEX('Desconto Processos'!$T$5:$Y$32,MATCH(180-$A164,'Desconto Processos'!$A$5:$A$32,0),MATCH(I$136,'Desconto Processos'!$T$3:$Y$3,0))+INDEX('Acrescimo Tangente'!$B$100:$W$127,MATCH($A164,$A$10:$A$37,0),MATCH(I$136,$C$9:$X$9,0)))</f>
        <v>20.970765814495916</v>
      </c>
      <c r="J164" s="24">
        <f>2*(-1*INDEX('Desconto Processos'!$T$5:$Y$32,MATCH(180-$A164,'Desconto Processos'!$A$5:$A$32,0),MATCH(J$136,'Desconto Processos'!$T$3:$Y$3,0))+INDEX('Acrescimo Tangente'!$B$100:$W$127,MATCH($A164,$A$10:$A$37,0),MATCH(J$136,$C$9:$X$9,0)))</f>
        <v>21.963586137523468</v>
      </c>
      <c r="K164" s="17">
        <v>0</v>
      </c>
      <c r="L164" s="17">
        <v>0</v>
      </c>
      <c r="M164" s="17">
        <v>0</v>
      </c>
      <c r="N164" s="24">
        <f>2*(-1*INDEX('Desconto Processos'!$T$5:$Y$32,MATCH(180-$A164,'Desconto Processos'!$A$5:$A$32,0),MATCH(N$136,'Desconto Processos'!$T$3:$Y$3,0))+INDEX('Acrescimo Tangente'!$B$100:$W$127,MATCH($A164,$A$10:$A$37,0),MATCH(N$136,$C$9:$X$9,0)))</f>
        <v>25.288457268119899</v>
      </c>
      <c r="O164" s="17">
        <v>0</v>
      </c>
      <c r="P164" s="17">
        <v>0</v>
      </c>
      <c r="Q164" s="17">
        <v>0</v>
      </c>
      <c r="R164" s="17">
        <v>0</v>
      </c>
      <c r="S164" s="24">
        <f>2*(-1*INDEX('Desconto Processos'!$T$5:$Y$32,MATCH(180-$A164,'Desconto Processos'!$A$5:$A$32,0),MATCH(S$136,'Desconto Processos'!$T$3:$Y$3,0))+INDEX('Acrescimo Tangente'!$B$100:$W$127,MATCH($A164,$A$10:$A$37,0),MATCH(S$136,$C$9:$X$9,0)))</f>
        <v>29.759738560230101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28"/>
      <c r="Z164" s="25"/>
    </row>
    <row r="165" spans="1:26" ht="15.75" thickBot="1" x14ac:dyDescent="0.25">
      <c r="A165" s="7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6" ht="16.5" thickBot="1" x14ac:dyDescent="0.3">
      <c r="A166" s="8" t="s">
        <v>5</v>
      </c>
      <c r="B166" s="16">
        <v>2.6</v>
      </c>
      <c r="C166" s="2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6" ht="16.5" thickBot="1" x14ac:dyDescent="0.25">
      <c r="A167" s="114" t="s">
        <v>6</v>
      </c>
      <c r="B167" s="116" t="s">
        <v>7</v>
      </c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8"/>
    </row>
    <row r="168" spans="1:26" ht="16.5" thickBot="1" x14ac:dyDescent="0.3">
      <c r="A168" s="115"/>
      <c r="B168" s="18">
        <v>0.5</v>
      </c>
      <c r="C168" s="15">
        <v>1</v>
      </c>
      <c r="D168" s="15">
        <v>1.1000000000000001</v>
      </c>
      <c r="E168" s="15">
        <v>1.2</v>
      </c>
      <c r="F168" s="15">
        <v>1.3</v>
      </c>
      <c r="G168" s="15">
        <v>1.4</v>
      </c>
      <c r="H168" s="15">
        <v>1.6</v>
      </c>
      <c r="I168" s="15">
        <v>1.7</v>
      </c>
      <c r="J168" s="18">
        <v>1.9</v>
      </c>
      <c r="K168" s="15">
        <v>2</v>
      </c>
      <c r="L168" s="18">
        <v>2.2999999999999998</v>
      </c>
      <c r="M168" s="15">
        <v>2.5</v>
      </c>
      <c r="N168" s="15">
        <v>2.6</v>
      </c>
      <c r="O168" s="18">
        <v>2.7</v>
      </c>
      <c r="P168" s="15">
        <v>3</v>
      </c>
      <c r="Q168" s="18">
        <v>3.2</v>
      </c>
      <c r="R168" s="15">
        <v>3.3</v>
      </c>
      <c r="S168" s="15">
        <v>3.4</v>
      </c>
      <c r="T168" s="15">
        <v>3.7</v>
      </c>
      <c r="U168" s="15">
        <v>3.9</v>
      </c>
      <c r="V168" s="15">
        <v>4.3</v>
      </c>
      <c r="W168" s="15">
        <v>4.5</v>
      </c>
      <c r="X168" s="15">
        <v>5.5</v>
      </c>
      <c r="Y168" s="28"/>
      <c r="Z168" s="25"/>
    </row>
    <row r="169" spans="1:26" ht="15.75" x14ac:dyDescent="0.25">
      <c r="A169" s="11">
        <v>15</v>
      </c>
      <c r="B169" s="19">
        <v>1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9">
        <f>2*(-1*INDEX('Desconto Processos'!$Z$5:$AC$32,MATCH(180-$A169,'Desconto Processos'!$A$5:$A$32,0),MATCH(J$168,'Desconto Processos'!$Z$3:$AC$3,0))+INDEX('Acrescimo Tangente'!$B$132:$W$159,MATCH($A169,$A$10:$A$37,0),MATCH(J$168,$C$9:$X$9,0)))</f>
        <v>0.5</v>
      </c>
      <c r="K169" s="17">
        <v>0</v>
      </c>
      <c r="L169" s="19">
        <f>2*(-1*INDEX('Desconto Processos'!$Z$5:$AC$32,MATCH(180-$A169,'Desconto Processos'!$A$5:$A$32,0),MATCH(L$168,'Desconto Processos'!$Z$3:$AC$3,0))+INDEX('Acrescimo Tangente'!$B$132:$W$159,MATCH($A169,$A$10:$A$37,0),MATCH(L$168,$C$9:$X$9,0)))</f>
        <v>0.4</v>
      </c>
      <c r="M169" s="17">
        <v>0</v>
      </c>
      <c r="N169" s="17">
        <v>0</v>
      </c>
      <c r="O169" s="19">
        <f>2*(-1*INDEX('Desconto Processos'!$Z$5:$AC$32,MATCH(180-$A169,'Desconto Processos'!$A$5:$A$32,0),MATCH(O$168,'Desconto Processos'!$Z$3:$AC$3,0))+INDEX('Acrescimo Tangente'!$B$132:$W$159,MATCH($A169,$A$10:$A$37,0),MATCH(O$168,$C$9:$X$9,0)))</f>
        <v>0.5</v>
      </c>
      <c r="P169" s="17">
        <v>0</v>
      </c>
      <c r="Q169" s="19">
        <f>2*(-1*INDEX('Desconto Processos'!$Z$5:$AC$32,MATCH(180-$A169,'Desconto Processos'!$A$5:$A$32,0),MATCH(Q$168,'Desconto Processos'!$Z$3:$AC$3,0))+INDEX('Acrescimo Tangente'!$B$132:$W$159,MATCH($A169,$A$10:$A$37,0),MATCH(Q$168,$C$9:$X$9,0)))</f>
        <v>0.4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28"/>
      <c r="Z169" s="25"/>
    </row>
    <row r="170" spans="1:26" ht="15.75" x14ac:dyDescent="0.25">
      <c r="A170" s="11">
        <v>20</v>
      </c>
      <c r="B170" s="19">
        <v>1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9">
        <f>2*(-1*INDEX('Desconto Processos'!$Z$5:$AC$32,MATCH(180-$A170,'Desconto Processos'!$A$5:$A$32,0),MATCH(J$168,'Desconto Processos'!$Z$3:$AC$3,0))+INDEX('Acrescimo Tangente'!$B$132:$W$159,MATCH($A170,$A$10:$A$37,0),MATCH(J$168,$C$9:$X$9,0)))</f>
        <v>0.6</v>
      </c>
      <c r="K170" s="17">
        <v>0</v>
      </c>
      <c r="L170" s="19">
        <f>2*(-1*INDEX('Desconto Processos'!$Z$5:$AC$32,MATCH(180-$A170,'Desconto Processos'!$A$5:$A$32,0),MATCH(L$168,'Desconto Processos'!$Z$3:$AC$3,0))+INDEX('Acrescimo Tangente'!$B$132:$W$159,MATCH($A170,$A$10:$A$37,0),MATCH(L$168,$C$9:$X$9,0)))</f>
        <v>0.6</v>
      </c>
      <c r="M170" s="17">
        <v>0</v>
      </c>
      <c r="N170" s="17">
        <v>0</v>
      </c>
      <c r="O170" s="19">
        <f>2*(-1*INDEX('Desconto Processos'!$Z$5:$AC$32,MATCH(180-$A170,'Desconto Processos'!$A$5:$A$32,0),MATCH(O$168,'Desconto Processos'!$Z$3:$AC$3,0))+INDEX('Acrescimo Tangente'!$B$132:$W$159,MATCH($A170,$A$10:$A$37,0),MATCH(O$168,$C$9:$X$9,0)))</f>
        <v>0.6</v>
      </c>
      <c r="P170" s="17">
        <v>0</v>
      </c>
      <c r="Q170" s="19">
        <f>2*(-1*INDEX('Desconto Processos'!$Z$5:$AC$32,MATCH(180-$A170,'Desconto Processos'!$A$5:$A$32,0),MATCH(Q$168,'Desconto Processos'!$Z$3:$AC$3,0))+INDEX('Acrescimo Tangente'!$B$132:$W$159,MATCH($A170,$A$10:$A$37,0),MATCH(Q$168,$C$9:$X$9,0)))</f>
        <v>0.5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28"/>
      <c r="Z170" s="25"/>
    </row>
    <row r="171" spans="1:26" ht="15.75" x14ac:dyDescent="0.25">
      <c r="A171" s="11">
        <v>25</v>
      </c>
      <c r="B171" s="19">
        <v>1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9">
        <f>2*(-1*INDEX('Desconto Processos'!$Z$5:$AC$32,MATCH(180-$A171,'Desconto Processos'!$A$5:$A$32,0),MATCH(J$168,'Desconto Processos'!$Z$3:$AC$3,0))+INDEX('Acrescimo Tangente'!$B$132:$W$159,MATCH($A171,$A$10:$A$37,0),MATCH(J$168,$C$9:$X$9,0)))</f>
        <v>0.8</v>
      </c>
      <c r="K171" s="17">
        <v>0</v>
      </c>
      <c r="L171" s="19">
        <f>2*(-1*INDEX('Desconto Processos'!$Z$5:$AC$32,MATCH(180-$A171,'Desconto Processos'!$A$5:$A$32,0),MATCH(L$168,'Desconto Processos'!$Z$3:$AC$3,0))+INDEX('Acrescimo Tangente'!$B$132:$W$159,MATCH($A171,$A$10:$A$37,0),MATCH(L$168,$C$9:$X$9,0)))</f>
        <v>0.8</v>
      </c>
      <c r="M171" s="17">
        <v>0</v>
      </c>
      <c r="N171" s="17">
        <v>0</v>
      </c>
      <c r="O171" s="19">
        <f>2*(-1*INDEX('Desconto Processos'!$Z$5:$AC$32,MATCH(180-$A171,'Desconto Processos'!$A$5:$A$32,0),MATCH(O$168,'Desconto Processos'!$Z$3:$AC$3,0))+INDEX('Acrescimo Tangente'!$B$132:$W$159,MATCH($A171,$A$10:$A$37,0),MATCH(O$168,$C$9:$X$9,0)))</f>
        <v>0.7</v>
      </c>
      <c r="P171" s="17">
        <v>0</v>
      </c>
      <c r="Q171" s="19">
        <f>2*(-1*INDEX('Desconto Processos'!$Z$5:$AC$32,MATCH(180-$A171,'Desconto Processos'!$A$5:$A$32,0),MATCH(Q$168,'Desconto Processos'!$Z$3:$AC$3,0))+INDEX('Acrescimo Tangente'!$B$132:$W$159,MATCH($A171,$A$10:$A$37,0),MATCH(Q$168,$C$9:$X$9,0)))</f>
        <v>0.7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28"/>
      <c r="Z171" s="25"/>
    </row>
    <row r="172" spans="1:26" ht="15.75" x14ac:dyDescent="0.25">
      <c r="A172" s="11">
        <v>30</v>
      </c>
      <c r="B172" s="19">
        <v>1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9">
        <f>2*(-1*INDEX('Desconto Processos'!$Z$5:$AC$32,MATCH(180-$A172,'Desconto Processos'!$A$5:$A$32,0),MATCH(J$168,'Desconto Processos'!$Z$3:$AC$3,0))+INDEX('Acrescimo Tangente'!$B$132:$W$159,MATCH($A172,$A$10:$A$37,0),MATCH(J$168,$C$9:$X$9,0)))</f>
        <v>1</v>
      </c>
      <c r="K172" s="17">
        <v>0</v>
      </c>
      <c r="L172" s="19">
        <f>2*(-1*INDEX('Desconto Processos'!$Z$5:$AC$32,MATCH(180-$A172,'Desconto Processos'!$A$5:$A$32,0),MATCH(L$168,'Desconto Processos'!$Z$3:$AC$3,0))+INDEX('Acrescimo Tangente'!$B$132:$W$159,MATCH($A172,$A$10:$A$37,0),MATCH(L$168,$C$9:$X$9,0)))</f>
        <v>1</v>
      </c>
      <c r="M172" s="17">
        <v>0</v>
      </c>
      <c r="N172" s="17">
        <v>0</v>
      </c>
      <c r="O172" s="19">
        <f>2*(-1*INDEX('Desconto Processos'!$Z$5:$AC$32,MATCH(180-$A172,'Desconto Processos'!$A$5:$A$32,0),MATCH(O$168,'Desconto Processos'!$Z$3:$AC$3,0))+INDEX('Acrescimo Tangente'!$B$132:$W$159,MATCH($A172,$A$10:$A$37,0),MATCH(O$168,$C$9:$X$9,0)))</f>
        <v>0.9</v>
      </c>
      <c r="P172" s="17">
        <v>0</v>
      </c>
      <c r="Q172" s="19">
        <f>2*(-1*INDEX('Desconto Processos'!$Z$5:$AC$32,MATCH(180-$A172,'Desconto Processos'!$A$5:$A$32,0),MATCH(Q$168,'Desconto Processos'!$Z$3:$AC$3,0))+INDEX('Acrescimo Tangente'!$B$132:$W$159,MATCH($A172,$A$10:$A$37,0),MATCH(Q$168,$C$9:$X$9,0)))</f>
        <v>0.9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28"/>
      <c r="Z172" s="25"/>
    </row>
    <row r="173" spans="1:26" ht="15.75" x14ac:dyDescent="0.25">
      <c r="A173" s="11">
        <v>35</v>
      </c>
      <c r="B173" s="19">
        <v>1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9">
        <f>2*(-1*INDEX('Desconto Processos'!$Z$5:$AC$32,MATCH(180-$A173,'Desconto Processos'!$A$5:$A$32,0),MATCH(J$168,'Desconto Processos'!$Z$3:$AC$3,0))+INDEX('Acrescimo Tangente'!$B$132:$W$159,MATCH($A173,$A$10:$A$37,0),MATCH(J$168,$C$9:$X$9,0)))</f>
        <v>1.2</v>
      </c>
      <c r="K173" s="17">
        <v>0</v>
      </c>
      <c r="L173" s="19">
        <f>2*(-1*INDEX('Desconto Processos'!$Z$5:$AC$32,MATCH(180-$A173,'Desconto Processos'!$A$5:$A$32,0),MATCH(L$168,'Desconto Processos'!$Z$3:$AC$3,0))+INDEX('Acrescimo Tangente'!$B$132:$W$159,MATCH($A173,$A$10:$A$37,0),MATCH(L$168,$C$9:$X$9,0)))</f>
        <v>1.2</v>
      </c>
      <c r="M173" s="17">
        <v>0</v>
      </c>
      <c r="N173" s="17">
        <v>0</v>
      </c>
      <c r="O173" s="19">
        <f>2*(-1*INDEX('Desconto Processos'!$Z$5:$AC$32,MATCH(180-$A173,'Desconto Processos'!$A$5:$A$32,0),MATCH(O$168,'Desconto Processos'!$Z$3:$AC$3,0))+INDEX('Acrescimo Tangente'!$B$132:$W$159,MATCH($A173,$A$10:$A$37,0),MATCH(O$168,$C$9:$X$9,0)))</f>
        <v>1.1000000000000001</v>
      </c>
      <c r="P173" s="17">
        <v>0</v>
      </c>
      <c r="Q173" s="19">
        <f>2*(-1*INDEX('Desconto Processos'!$Z$5:$AC$32,MATCH(180-$A173,'Desconto Processos'!$A$5:$A$32,0),MATCH(Q$168,'Desconto Processos'!$Z$3:$AC$3,0))+INDEX('Acrescimo Tangente'!$B$132:$W$159,MATCH($A173,$A$10:$A$37,0),MATCH(Q$168,$C$9:$X$9,0)))</f>
        <v>1.1000000000000001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28"/>
      <c r="Z173" s="25"/>
    </row>
    <row r="174" spans="1:26" ht="15.75" x14ac:dyDescent="0.25">
      <c r="A174" s="11">
        <v>40</v>
      </c>
      <c r="B174" s="19">
        <v>1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9">
        <f>2*(-1*INDEX('Desconto Processos'!$Z$5:$AC$32,MATCH(180-$A174,'Desconto Processos'!$A$5:$A$32,0),MATCH(J$168,'Desconto Processos'!$Z$3:$AC$3,0))+INDEX('Acrescimo Tangente'!$B$132:$W$159,MATCH($A174,$A$10:$A$37,0),MATCH(J$168,$C$9:$X$9,0)))</f>
        <v>1.4</v>
      </c>
      <c r="K174" s="17">
        <v>0</v>
      </c>
      <c r="L174" s="19">
        <f>2*(-1*INDEX('Desconto Processos'!$Z$5:$AC$32,MATCH(180-$A174,'Desconto Processos'!$A$5:$A$32,0),MATCH(L$168,'Desconto Processos'!$Z$3:$AC$3,0))+INDEX('Acrescimo Tangente'!$B$132:$W$159,MATCH($A174,$A$10:$A$37,0),MATCH(L$168,$C$9:$X$9,0)))</f>
        <v>1.3</v>
      </c>
      <c r="M174" s="17">
        <v>0</v>
      </c>
      <c r="N174" s="17">
        <v>0</v>
      </c>
      <c r="O174" s="19">
        <f>2*(-1*INDEX('Desconto Processos'!$Z$5:$AC$32,MATCH(180-$A174,'Desconto Processos'!$A$5:$A$32,0),MATCH(O$168,'Desconto Processos'!$Z$3:$AC$3,0))+INDEX('Acrescimo Tangente'!$B$132:$W$159,MATCH($A174,$A$10:$A$37,0),MATCH(O$168,$C$9:$X$9,0)))</f>
        <v>1.3</v>
      </c>
      <c r="P174" s="17">
        <v>0</v>
      </c>
      <c r="Q174" s="19">
        <f>2*(-1*INDEX('Desconto Processos'!$Z$5:$AC$32,MATCH(180-$A174,'Desconto Processos'!$A$5:$A$32,0),MATCH(Q$168,'Desconto Processos'!$Z$3:$AC$3,0))+INDEX('Acrescimo Tangente'!$B$132:$W$159,MATCH($A174,$A$10:$A$37,0),MATCH(Q$168,$C$9:$X$9,0)))</f>
        <v>1.3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28"/>
      <c r="Z174" s="25"/>
    </row>
    <row r="175" spans="1:26" ht="15.75" x14ac:dyDescent="0.25">
      <c r="A175" s="11">
        <v>45</v>
      </c>
      <c r="B175" s="19">
        <v>1</v>
      </c>
      <c r="C175" s="17">
        <v>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9">
        <f>2*(-1*INDEX('Desconto Processos'!$Z$5:$AC$32,MATCH(180-$A175,'Desconto Processos'!$A$5:$A$32,0),MATCH(J$168,'Desconto Processos'!$Z$3:$AC$3,0))+INDEX('Acrescimo Tangente'!$B$132:$W$159,MATCH($A175,$A$10:$A$37,0),MATCH(J$168,$C$9:$X$9,0)))</f>
        <v>1.6</v>
      </c>
      <c r="K175" s="17">
        <v>0</v>
      </c>
      <c r="L175" s="19">
        <f>2*(-1*INDEX('Desconto Processos'!$Z$5:$AC$32,MATCH(180-$A175,'Desconto Processos'!$A$5:$A$32,0),MATCH(L$168,'Desconto Processos'!$Z$3:$AC$3,0))+INDEX('Acrescimo Tangente'!$B$132:$W$159,MATCH($A175,$A$10:$A$37,0),MATCH(L$168,$C$9:$X$9,0)))</f>
        <v>1.6</v>
      </c>
      <c r="M175" s="17">
        <v>0</v>
      </c>
      <c r="N175" s="17">
        <v>0</v>
      </c>
      <c r="O175" s="19">
        <f>2*(-1*INDEX('Desconto Processos'!$Z$5:$AC$32,MATCH(180-$A175,'Desconto Processos'!$A$5:$A$32,0),MATCH(O$168,'Desconto Processos'!$Z$3:$AC$3,0))+INDEX('Acrescimo Tangente'!$B$132:$W$159,MATCH($A175,$A$10:$A$37,0),MATCH(O$168,$C$9:$X$9,0)))</f>
        <v>1.6</v>
      </c>
      <c r="P175" s="17">
        <v>0</v>
      </c>
      <c r="Q175" s="19">
        <f>2*(-1*INDEX('Desconto Processos'!$Z$5:$AC$32,MATCH(180-$A175,'Desconto Processos'!$A$5:$A$32,0),MATCH(Q$168,'Desconto Processos'!$Z$3:$AC$3,0))+INDEX('Acrescimo Tangente'!$B$132:$W$159,MATCH($A175,$A$10:$A$37,0),MATCH(Q$168,$C$9:$X$9,0)))</f>
        <v>1.5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28"/>
      <c r="Z175" s="25"/>
    </row>
    <row r="176" spans="1:26" ht="15.75" x14ac:dyDescent="0.25">
      <c r="A176" s="11">
        <v>50</v>
      </c>
      <c r="B176" s="19">
        <v>1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9">
        <f>2*(-1*INDEX('Desconto Processos'!$Z$5:$AC$32,MATCH(180-$A176,'Desconto Processos'!$A$5:$A$32,0),MATCH(J$168,'Desconto Processos'!$Z$3:$AC$3,0))+INDEX('Acrescimo Tangente'!$B$132:$W$159,MATCH($A176,$A$10:$A$37,0),MATCH(J$168,$C$9:$X$9,0)))</f>
        <v>1.9</v>
      </c>
      <c r="K176" s="17">
        <v>0</v>
      </c>
      <c r="L176" s="19">
        <f>2*(-1*INDEX('Desconto Processos'!$Z$5:$AC$32,MATCH(180-$A176,'Desconto Processos'!$A$5:$A$32,0),MATCH(L$168,'Desconto Processos'!$Z$3:$AC$3,0))+INDEX('Acrescimo Tangente'!$B$132:$W$159,MATCH($A176,$A$10:$A$37,0),MATCH(L$168,$C$9:$X$9,0)))</f>
        <v>1.8</v>
      </c>
      <c r="M176" s="17">
        <v>0</v>
      </c>
      <c r="N176" s="17">
        <v>0</v>
      </c>
      <c r="O176" s="19">
        <f>2*(-1*INDEX('Desconto Processos'!$Z$5:$AC$32,MATCH(180-$A176,'Desconto Processos'!$A$5:$A$32,0),MATCH(O$168,'Desconto Processos'!$Z$3:$AC$3,0))+INDEX('Acrescimo Tangente'!$B$132:$W$159,MATCH($A176,$A$10:$A$37,0),MATCH(O$168,$C$9:$X$9,0)))</f>
        <v>1.8</v>
      </c>
      <c r="P176" s="17">
        <v>0</v>
      </c>
      <c r="Q176" s="19">
        <f>2*(-1*INDEX('Desconto Processos'!$Z$5:$AC$32,MATCH(180-$A176,'Desconto Processos'!$A$5:$A$32,0),MATCH(Q$168,'Desconto Processos'!$Z$3:$AC$3,0))+INDEX('Acrescimo Tangente'!$B$132:$W$159,MATCH($A176,$A$10:$A$37,0),MATCH(Q$168,$C$9:$X$9,0)))</f>
        <v>1.8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28"/>
      <c r="Z176" s="25"/>
    </row>
    <row r="177" spans="1:26" ht="15.75" x14ac:dyDescent="0.25">
      <c r="A177" s="11">
        <v>55</v>
      </c>
      <c r="B177" s="19">
        <v>1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9">
        <f>2*(-1*INDEX('Desconto Processos'!$Z$5:$AC$32,MATCH(180-$A177,'Desconto Processos'!$A$5:$A$32,0),MATCH(J$168,'Desconto Processos'!$Z$3:$AC$3,0))+INDEX('Acrescimo Tangente'!$B$132:$W$159,MATCH($A177,$A$10:$A$37,0),MATCH(J$168,$C$9:$X$9,0)))</f>
        <v>2.1</v>
      </c>
      <c r="K177" s="17">
        <v>0</v>
      </c>
      <c r="L177" s="19">
        <f>2*(-1*INDEX('Desconto Processos'!$Z$5:$AC$32,MATCH(180-$A177,'Desconto Processos'!$A$5:$A$32,0),MATCH(L$168,'Desconto Processos'!$Z$3:$AC$3,0))+INDEX('Acrescimo Tangente'!$B$132:$W$159,MATCH($A177,$A$10:$A$37,0),MATCH(L$168,$C$9:$X$9,0)))</f>
        <v>2</v>
      </c>
      <c r="M177" s="17">
        <v>0</v>
      </c>
      <c r="N177" s="17">
        <v>0</v>
      </c>
      <c r="O177" s="19">
        <f>2*(-1*INDEX('Desconto Processos'!$Z$5:$AC$32,MATCH(180-$A177,'Desconto Processos'!$A$5:$A$32,0),MATCH(O$168,'Desconto Processos'!$Z$3:$AC$3,0))+INDEX('Acrescimo Tangente'!$B$132:$W$159,MATCH($A177,$A$10:$A$37,0),MATCH(O$168,$C$9:$X$9,0)))</f>
        <v>2.1</v>
      </c>
      <c r="P177" s="17">
        <v>0</v>
      </c>
      <c r="Q177" s="19">
        <f>2*(-1*INDEX('Desconto Processos'!$Z$5:$AC$32,MATCH(180-$A177,'Desconto Processos'!$A$5:$A$32,0),MATCH(Q$168,'Desconto Processos'!$Z$3:$AC$3,0))+INDEX('Acrescimo Tangente'!$B$132:$W$159,MATCH($A177,$A$10:$A$37,0),MATCH(Q$168,$C$9:$X$9,0)))</f>
        <v>2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28"/>
      <c r="Z177" s="25"/>
    </row>
    <row r="178" spans="1:26" ht="15.75" x14ac:dyDescent="0.25">
      <c r="A178" s="11">
        <v>60</v>
      </c>
      <c r="B178" s="19">
        <v>1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9">
        <f>2*(-1*INDEX('Desconto Processos'!$Z$5:$AC$32,MATCH(180-$A178,'Desconto Processos'!$A$5:$A$32,0),MATCH(J$168,'Desconto Processos'!$Z$3:$AC$3,0))+INDEX('Acrescimo Tangente'!$B$132:$W$159,MATCH($A178,$A$10:$A$37,0),MATCH(J$168,$C$9:$X$9,0)))</f>
        <v>2.2999999999999998</v>
      </c>
      <c r="K178" s="17">
        <v>0</v>
      </c>
      <c r="L178" s="19">
        <f>2*(-1*INDEX('Desconto Processos'!$Z$5:$AC$32,MATCH(180-$A178,'Desconto Processos'!$A$5:$A$32,0),MATCH(L$168,'Desconto Processos'!$Z$3:$AC$3,0))+INDEX('Acrescimo Tangente'!$B$132:$W$159,MATCH($A178,$A$10:$A$37,0),MATCH(L$168,$C$9:$X$9,0)))</f>
        <v>2.2999999999999998</v>
      </c>
      <c r="M178" s="17">
        <v>0</v>
      </c>
      <c r="N178" s="17">
        <v>0</v>
      </c>
      <c r="O178" s="19">
        <f>2*(-1*INDEX('Desconto Processos'!$Z$5:$AC$32,MATCH(180-$A178,'Desconto Processos'!$A$5:$A$32,0),MATCH(O$168,'Desconto Processos'!$Z$3:$AC$3,0))+INDEX('Acrescimo Tangente'!$B$132:$W$159,MATCH($A178,$A$10:$A$37,0),MATCH(O$168,$C$9:$X$9,0)))</f>
        <v>2.2999999999999998</v>
      </c>
      <c r="P178" s="17">
        <v>0</v>
      </c>
      <c r="Q178" s="19">
        <f>2*(-1*INDEX('Desconto Processos'!$Z$5:$AC$32,MATCH(180-$A178,'Desconto Processos'!$A$5:$A$32,0),MATCH(Q$168,'Desconto Processos'!$Z$3:$AC$3,0))+INDEX('Acrescimo Tangente'!$B$132:$W$159,MATCH($A178,$A$10:$A$37,0),MATCH(Q$168,$C$9:$X$9,0)))</f>
        <v>2.2999999999999998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28"/>
      <c r="Z178" s="25"/>
    </row>
    <row r="179" spans="1:26" ht="15.75" x14ac:dyDescent="0.25">
      <c r="A179" s="11">
        <v>65</v>
      </c>
      <c r="B179" s="19">
        <v>1</v>
      </c>
      <c r="C179" s="17">
        <v>0</v>
      </c>
      <c r="D179" s="17">
        <v>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9">
        <f>2*(-1*INDEX('Desconto Processos'!$Z$5:$AC$32,MATCH(180-$A179,'Desconto Processos'!$A$5:$A$32,0),MATCH(J$168,'Desconto Processos'!$Z$3:$AC$3,0))+INDEX('Acrescimo Tangente'!$B$132:$W$159,MATCH($A179,$A$10:$A$37,0),MATCH(J$168,$C$9:$X$9,0)))</f>
        <v>2.7</v>
      </c>
      <c r="K179" s="17">
        <v>0</v>
      </c>
      <c r="L179" s="19">
        <f>2*(-1*INDEX('Desconto Processos'!$Z$5:$AC$32,MATCH(180-$A179,'Desconto Processos'!$A$5:$A$32,0),MATCH(L$168,'Desconto Processos'!$Z$3:$AC$3,0))+INDEX('Acrescimo Tangente'!$B$132:$W$159,MATCH($A179,$A$10:$A$37,0),MATCH(L$168,$C$9:$X$9,0)))</f>
        <v>2.6</v>
      </c>
      <c r="M179" s="17">
        <v>0</v>
      </c>
      <c r="N179" s="17">
        <v>0</v>
      </c>
      <c r="O179" s="19">
        <f>2*(-1*INDEX('Desconto Processos'!$Z$5:$AC$32,MATCH(180-$A179,'Desconto Processos'!$A$5:$A$32,0),MATCH(O$168,'Desconto Processos'!$Z$3:$AC$3,0))+INDEX('Acrescimo Tangente'!$B$132:$W$159,MATCH($A179,$A$10:$A$37,0),MATCH(O$168,$C$9:$X$9,0)))</f>
        <v>2.7</v>
      </c>
      <c r="P179" s="17">
        <v>0</v>
      </c>
      <c r="Q179" s="19">
        <f>2*(-1*INDEX('Desconto Processos'!$Z$5:$AC$32,MATCH(180-$A179,'Desconto Processos'!$A$5:$A$32,0),MATCH(Q$168,'Desconto Processos'!$Z$3:$AC$3,0))+INDEX('Acrescimo Tangente'!$B$132:$W$159,MATCH($A179,$A$10:$A$37,0),MATCH(Q$168,$C$9:$X$9,0)))</f>
        <v>2.6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28"/>
      <c r="Z179" s="25"/>
    </row>
    <row r="180" spans="1:26" ht="15.75" x14ac:dyDescent="0.25">
      <c r="A180" s="11">
        <v>70</v>
      </c>
      <c r="B180" s="19">
        <v>1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9">
        <f>2*(-1*INDEX('Desconto Processos'!$Z$5:$AC$32,MATCH(180-$A180,'Desconto Processos'!$A$5:$A$32,0),MATCH(J$168,'Desconto Processos'!$Z$3:$AC$3,0))+INDEX('Acrescimo Tangente'!$B$132:$W$159,MATCH($A180,$A$10:$A$37,0),MATCH(J$168,$C$9:$X$9,0)))</f>
        <v>3</v>
      </c>
      <c r="K180" s="17">
        <v>0</v>
      </c>
      <c r="L180" s="19">
        <f>2*(-1*INDEX('Desconto Processos'!$Z$5:$AC$32,MATCH(180-$A180,'Desconto Processos'!$A$5:$A$32,0),MATCH(L$168,'Desconto Processos'!$Z$3:$AC$3,0))+INDEX('Acrescimo Tangente'!$B$132:$W$159,MATCH($A180,$A$10:$A$37,0),MATCH(L$168,$C$9:$X$9,0)))</f>
        <v>3</v>
      </c>
      <c r="M180" s="17">
        <v>0</v>
      </c>
      <c r="N180" s="17">
        <v>0</v>
      </c>
      <c r="O180" s="19">
        <f>2*(-1*INDEX('Desconto Processos'!$Z$5:$AC$32,MATCH(180-$A180,'Desconto Processos'!$A$5:$A$32,0),MATCH(O$168,'Desconto Processos'!$Z$3:$AC$3,0))+INDEX('Acrescimo Tangente'!$B$132:$W$159,MATCH($A180,$A$10:$A$37,0),MATCH(O$168,$C$9:$X$9,0)))</f>
        <v>3.1</v>
      </c>
      <c r="P180" s="17">
        <v>0</v>
      </c>
      <c r="Q180" s="19">
        <f>2*(-1*INDEX('Desconto Processos'!$Z$5:$AC$32,MATCH(180-$A180,'Desconto Processos'!$A$5:$A$32,0),MATCH(Q$168,'Desconto Processos'!$Z$3:$AC$3,0))+INDEX('Acrescimo Tangente'!$B$132:$W$159,MATCH($A180,$A$10:$A$37,0),MATCH(Q$168,$C$9:$X$9,0)))</f>
        <v>3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28"/>
      <c r="Z180" s="25"/>
    </row>
    <row r="181" spans="1:26" ht="15.75" x14ac:dyDescent="0.25">
      <c r="A181" s="11">
        <v>75</v>
      </c>
      <c r="B181" s="19">
        <v>1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9">
        <f>2*(-1*INDEX('Desconto Processos'!$Z$5:$AC$32,MATCH(180-$A181,'Desconto Processos'!$A$5:$A$32,0),MATCH(J$168,'Desconto Processos'!$Z$3:$AC$3,0))+INDEX('Acrescimo Tangente'!$B$132:$W$159,MATCH($A181,$A$10:$A$37,0),MATCH(J$168,$C$9:$X$9,0)))</f>
        <v>3.4</v>
      </c>
      <c r="K181" s="17">
        <v>0</v>
      </c>
      <c r="L181" s="19">
        <f>2*(-1*INDEX('Desconto Processos'!$Z$5:$AC$32,MATCH(180-$A181,'Desconto Processos'!$A$5:$A$32,0),MATCH(L$168,'Desconto Processos'!$Z$3:$AC$3,0))+INDEX('Acrescimo Tangente'!$B$132:$W$159,MATCH($A181,$A$10:$A$37,0),MATCH(L$168,$C$9:$X$9,0)))</f>
        <v>3.4</v>
      </c>
      <c r="M181" s="17">
        <v>0</v>
      </c>
      <c r="N181" s="17">
        <v>0</v>
      </c>
      <c r="O181" s="19">
        <f>2*(-1*INDEX('Desconto Processos'!$Z$5:$AC$32,MATCH(180-$A181,'Desconto Processos'!$A$5:$A$32,0),MATCH(O$168,'Desconto Processos'!$Z$3:$AC$3,0))+INDEX('Acrescimo Tangente'!$B$132:$W$159,MATCH($A181,$A$10:$A$37,0),MATCH(O$168,$C$9:$X$9,0)))</f>
        <v>3.5</v>
      </c>
      <c r="P181" s="17">
        <v>0</v>
      </c>
      <c r="Q181" s="19">
        <f>2*(-1*INDEX('Desconto Processos'!$Z$5:$AC$32,MATCH(180-$A181,'Desconto Processos'!$A$5:$A$32,0),MATCH(Q$168,'Desconto Processos'!$Z$3:$AC$3,0))+INDEX('Acrescimo Tangente'!$B$132:$W$159,MATCH($A181,$A$10:$A$37,0),MATCH(Q$168,$C$9:$X$9,0)))</f>
        <v>3.4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28"/>
      <c r="Z181" s="25"/>
    </row>
    <row r="182" spans="1:26" ht="15.75" x14ac:dyDescent="0.25">
      <c r="A182" s="11">
        <v>80</v>
      </c>
      <c r="B182" s="19">
        <v>1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9">
        <f>2*(-1*INDEX('Desconto Processos'!$Z$5:$AC$32,MATCH(180-$A182,'Desconto Processos'!$A$5:$A$32,0),MATCH(J$168,'Desconto Processos'!$Z$3:$AC$3,0))+INDEX('Acrescimo Tangente'!$B$132:$W$159,MATCH($A182,$A$10:$A$37,0),MATCH(J$168,$C$9:$X$9,0)))</f>
        <v>3.7</v>
      </c>
      <c r="K182" s="17">
        <v>0</v>
      </c>
      <c r="L182" s="19">
        <f>2*(-1*INDEX('Desconto Processos'!$Z$5:$AC$32,MATCH(180-$A182,'Desconto Processos'!$A$5:$A$32,0),MATCH(L$168,'Desconto Processos'!$Z$3:$AC$3,0))+INDEX('Acrescimo Tangente'!$B$132:$W$159,MATCH($A182,$A$10:$A$37,0),MATCH(L$168,$C$9:$X$9,0)))</f>
        <v>3.7</v>
      </c>
      <c r="M182" s="17">
        <v>0</v>
      </c>
      <c r="N182" s="17">
        <v>0</v>
      </c>
      <c r="O182" s="19">
        <f>2*(-1*INDEX('Desconto Processos'!$Z$5:$AC$32,MATCH(180-$A182,'Desconto Processos'!$A$5:$A$32,0),MATCH(O$168,'Desconto Processos'!$Z$3:$AC$3,0))+INDEX('Acrescimo Tangente'!$B$132:$W$159,MATCH($A182,$A$10:$A$37,0),MATCH(O$168,$C$9:$X$9,0)))</f>
        <v>3.8</v>
      </c>
      <c r="P182" s="17">
        <v>0</v>
      </c>
      <c r="Q182" s="19">
        <f>2*(-1*INDEX('Desconto Processos'!$Z$5:$AC$32,MATCH(180-$A182,'Desconto Processos'!$A$5:$A$32,0),MATCH(Q$168,'Desconto Processos'!$Z$3:$AC$3,0))+INDEX('Acrescimo Tangente'!$B$132:$W$159,MATCH($A182,$A$10:$A$37,0),MATCH(Q$168,$C$9:$X$9,0)))</f>
        <v>4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28"/>
      <c r="Z182" s="25"/>
    </row>
    <row r="183" spans="1:26" ht="15.75" x14ac:dyDescent="0.25">
      <c r="A183" s="11">
        <v>85</v>
      </c>
      <c r="B183" s="19">
        <v>1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9">
        <f>2*(-1*INDEX('Desconto Processos'!$Z$5:$AC$32,MATCH(180-$A183,'Desconto Processos'!$A$5:$A$32,0),MATCH(J$168,'Desconto Processos'!$Z$3:$AC$3,0))+INDEX('Acrescimo Tangente'!$B$132:$W$159,MATCH($A183,$A$10:$A$37,0),MATCH(J$168,$C$9:$X$9,0)))</f>
        <v>4.3</v>
      </c>
      <c r="K183" s="17">
        <v>0</v>
      </c>
      <c r="L183" s="19">
        <f>2*(-1*INDEX('Desconto Processos'!$Z$5:$AC$32,MATCH(180-$A183,'Desconto Processos'!$A$5:$A$32,0),MATCH(L$168,'Desconto Processos'!$Z$3:$AC$3,0))+INDEX('Acrescimo Tangente'!$B$132:$W$159,MATCH($A183,$A$10:$A$37,0),MATCH(L$168,$C$9:$X$9,0)))</f>
        <v>4.2</v>
      </c>
      <c r="M183" s="17">
        <v>0</v>
      </c>
      <c r="N183" s="17">
        <v>0</v>
      </c>
      <c r="O183" s="19">
        <f>2*(-1*INDEX('Desconto Processos'!$Z$5:$AC$32,MATCH(180-$A183,'Desconto Processos'!$A$5:$A$32,0),MATCH(O$168,'Desconto Processos'!$Z$3:$AC$3,0))+INDEX('Acrescimo Tangente'!$B$132:$W$159,MATCH($A183,$A$10:$A$37,0),MATCH(O$168,$C$9:$X$9,0)))</f>
        <v>4.3</v>
      </c>
      <c r="P183" s="17">
        <v>0</v>
      </c>
      <c r="Q183" s="19">
        <f>2*(-1*INDEX('Desconto Processos'!$Z$5:$AC$32,MATCH(180-$A183,'Desconto Processos'!$A$5:$A$32,0),MATCH(Q$168,'Desconto Processos'!$Z$3:$AC$3,0))+INDEX('Acrescimo Tangente'!$B$132:$W$159,MATCH($A183,$A$10:$A$37,0),MATCH(Q$168,$C$9:$X$9,0)))</f>
        <v>4.5999999999999996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28"/>
      <c r="Z183" s="25"/>
    </row>
    <row r="184" spans="1:26" ht="15.75" x14ac:dyDescent="0.25">
      <c r="A184" s="20">
        <v>90</v>
      </c>
      <c r="B184" s="21">
        <v>1</v>
      </c>
      <c r="C184" s="21">
        <v>0</v>
      </c>
      <c r="D184" s="21">
        <v>0</v>
      </c>
      <c r="E184" s="21">
        <v>0</v>
      </c>
      <c r="F184" s="21">
        <v>0</v>
      </c>
      <c r="G184" s="21">
        <v>0</v>
      </c>
      <c r="H184" s="21">
        <v>0</v>
      </c>
      <c r="I184" s="21">
        <v>0</v>
      </c>
      <c r="J184" s="21">
        <f>2*(-1*INDEX('Desconto Processos'!$Z$5:$AC$32,MATCH(180-$A184,'Desconto Processos'!$A$5:$A$32,0),MATCH(J$168,'Desconto Processos'!$Z$3:$AC$3,0))+INDEX('Acrescimo Tangente'!$B$132:$W$159,MATCH($A184,$A$10:$A$37,0),MATCH(J$168,$C$9:$X$9,0)))</f>
        <v>4.5999999999999996</v>
      </c>
      <c r="K184" s="21">
        <v>0</v>
      </c>
      <c r="L184" s="21">
        <f>2*(-1*INDEX('Desconto Processos'!$Z$5:$AC$32,MATCH(180-$A184,'Desconto Processos'!$A$5:$A$32,0),MATCH(L$168,'Desconto Processos'!$Z$3:$AC$3,0))+INDEX('Acrescimo Tangente'!$B$132:$W$159,MATCH($A184,$A$10:$A$37,0),MATCH(L$168,$C$9:$X$9,0)))</f>
        <v>4.7</v>
      </c>
      <c r="M184" s="21">
        <v>0</v>
      </c>
      <c r="N184" s="21">
        <v>0</v>
      </c>
      <c r="O184" s="21">
        <f>2*(-1*INDEX('Desconto Processos'!$Z$5:$AC$32,MATCH(180-$A184,'Desconto Processos'!$A$5:$A$32,0),MATCH(O$168,'Desconto Processos'!$Z$3:$AC$3,0))+INDEX('Acrescimo Tangente'!$B$132:$W$159,MATCH($A184,$A$10:$A$37,0),MATCH(O$168,$C$9:$X$9,0)))</f>
        <v>5.2</v>
      </c>
      <c r="P184" s="21">
        <v>0</v>
      </c>
      <c r="Q184" s="21">
        <f>2*(-1*INDEX('Desconto Processos'!$Z$5:$AC$32,MATCH(180-$A184,'Desconto Processos'!$A$5:$A$32,0),MATCH(Q$168,'Desconto Processos'!$Z$3:$AC$3,0))+INDEX('Acrescimo Tangente'!$B$132:$W$159,MATCH($A184,$A$10:$A$37,0),MATCH(Q$168,$C$9:$X$9,0)))</f>
        <v>5.3</v>
      </c>
      <c r="R184" s="21">
        <v>0</v>
      </c>
      <c r="S184" s="21">
        <v>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8"/>
      <c r="Z184" s="25"/>
    </row>
    <row r="185" spans="1:26" ht="15.75" x14ac:dyDescent="0.25">
      <c r="A185" s="11">
        <v>95</v>
      </c>
      <c r="B185" s="19">
        <v>1</v>
      </c>
      <c r="C185" s="17">
        <v>0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9">
        <f>2*(-1*INDEX('Desconto Processos'!$Z$5:$AC$32,MATCH(180-$A185,'Desconto Processos'!$A$5:$A$32,0),MATCH(J$168,'Desconto Processos'!$Z$3:$AC$3,0))+INDEX('Acrescimo Tangente'!$B$132:$W$159,MATCH($A185,$A$10:$A$37,0),MATCH(J$168,$C$9:$X$9,0)))</f>
        <v>5.2217765096234432</v>
      </c>
      <c r="K185" s="17">
        <v>0</v>
      </c>
      <c r="L185" s="19">
        <f>2*(-1*INDEX('Desconto Processos'!$Z$5:$AC$32,MATCH(180-$A185,'Desconto Processos'!$A$5:$A$32,0),MATCH(L$168,'Desconto Processos'!$Z$3:$AC$3,0))+INDEX('Acrescimo Tangente'!$B$132:$W$159,MATCH($A185,$A$10:$A$37,0),MATCH(L$168,$C$9:$X$9,0)))</f>
        <v>5.2948233104788605</v>
      </c>
      <c r="M185" s="17">
        <v>0</v>
      </c>
      <c r="N185" s="17">
        <v>0</v>
      </c>
      <c r="O185" s="19">
        <f>2*(-1*INDEX('Desconto Processos'!$Z$5:$AC$32,MATCH(180-$A185,'Desconto Processos'!$A$5:$A$32,0),MATCH(O$168,'Desconto Processos'!$Z$3:$AC$3,0))+INDEX('Acrescimo Tangente'!$B$132:$W$159,MATCH($A185,$A$10:$A$37,0),MATCH(O$168,$C$9:$X$9,0)))</f>
        <v>5.7678701113342772</v>
      </c>
      <c r="P185" s="17">
        <v>0</v>
      </c>
      <c r="Q185" s="19">
        <f>2*(-1*INDEX('Desconto Processos'!$Z$5:$AC$32,MATCH(180-$A185,'Desconto Processos'!$A$5:$A$32,0),MATCH(Q$168,'Desconto Processos'!$Z$3:$AC$3,0))+INDEX('Acrescimo Tangente'!$B$132:$W$159,MATCH($A185,$A$10:$A$37,0),MATCH(Q$168,$C$9:$X$9,0)))</f>
        <v>5.7591786124035487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28"/>
      <c r="Z185" s="25"/>
    </row>
    <row r="186" spans="1:26" ht="15.75" x14ac:dyDescent="0.25">
      <c r="A186" s="11">
        <v>100</v>
      </c>
      <c r="B186" s="19">
        <v>1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9">
        <f>2*(-1*INDEX('Desconto Processos'!$Z$5:$AC$32,MATCH(180-$A186,'Desconto Processos'!$A$5:$A$32,0),MATCH(J$168,'Desconto Processos'!$Z$3:$AC$3,0))+INDEX('Acrescimo Tangente'!$B$132:$W$159,MATCH($A186,$A$10:$A$37,0),MATCH(J$168,$C$9:$X$9,0)))</f>
        <v>5.9257823333478914</v>
      </c>
      <c r="K186" s="17">
        <v>0</v>
      </c>
      <c r="L186" s="19">
        <f>2*(-1*INDEX('Desconto Processos'!$Z$5:$AC$32,MATCH(180-$A186,'Desconto Processos'!$A$5:$A$32,0),MATCH(L$168,'Desconto Processos'!$Z$3:$AC$3,0))+INDEX('Acrescimo Tangente'!$B$132:$W$159,MATCH($A186,$A$10:$A$37,0),MATCH(L$168,$C$9:$X$9,0)))</f>
        <v>6.0791852074232589</v>
      </c>
      <c r="M186" s="17">
        <v>0</v>
      </c>
      <c r="N186" s="17">
        <v>0</v>
      </c>
      <c r="O186" s="19">
        <f>2*(-1*INDEX('Desconto Processos'!$Z$5:$AC$32,MATCH(180-$A186,'Desconto Processos'!$A$5:$A$32,0),MATCH(O$168,'Desconto Processos'!$Z$3:$AC$3,0))+INDEX('Acrescimo Tangente'!$B$132:$W$159,MATCH($A186,$A$10:$A$37,0),MATCH(O$168,$C$9:$X$9,0)))</f>
        <v>6.4325880814986274</v>
      </c>
      <c r="P186" s="17">
        <v>0</v>
      </c>
      <c r="Q186" s="19">
        <f>2*(-1*INDEX('Desconto Processos'!$Z$5:$AC$32,MATCH(180-$A186,'Desconto Processos'!$A$5:$A$32,0),MATCH(Q$168,'Desconto Processos'!$Z$3:$AC$3,0))+INDEX('Acrescimo Tangente'!$B$132:$W$159,MATCH($A186,$A$10:$A$37,0),MATCH(Q$168,$C$9:$X$9,0)))</f>
        <v>6.5243416740928364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28"/>
      <c r="Z186" s="25"/>
    </row>
    <row r="187" spans="1:26" ht="15.75" x14ac:dyDescent="0.25">
      <c r="A187" s="11">
        <v>105</v>
      </c>
      <c r="B187" s="19">
        <v>1</v>
      </c>
      <c r="C187" s="17">
        <v>0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9">
        <f>2*(-1*INDEX('Desconto Processos'!$Z$5:$AC$32,MATCH(180-$A187,'Desconto Processos'!$A$5:$A$32,0),MATCH(J$168,'Desconto Processos'!$Z$3:$AC$3,0))+INDEX('Acrescimo Tangente'!$B$132:$W$159,MATCH($A187,$A$10:$A$37,0),MATCH(J$168,$C$9:$X$9,0)))</f>
        <v>6.7290283555708506</v>
      </c>
      <c r="K187" s="17">
        <v>0</v>
      </c>
      <c r="L187" s="19">
        <f>2*(-1*INDEX('Desconto Processos'!$Z$5:$AC$32,MATCH(180-$A187,'Desconto Processos'!$A$5:$A$32,0),MATCH(L$168,'Desconto Processos'!$Z$3:$AC$3,0))+INDEX('Acrescimo Tangente'!$B$132:$W$159,MATCH($A187,$A$10:$A$37,0),MATCH(L$168,$C$9:$X$9,0)))</f>
        <v>6.8716086538438166</v>
      </c>
      <c r="M187" s="17">
        <v>0</v>
      </c>
      <c r="N187" s="17">
        <v>0</v>
      </c>
      <c r="O187" s="19">
        <f>2*(-1*INDEX('Desconto Processos'!$Z$5:$AC$32,MATCH(180-$A187,'Desconto Processos'!$A$5:$A$32,0),MATCH(O$168,'Desconto Processos'!$Z$3:$AC$3,0))+INDEX('Acrescimo Tangente'!$B$132:$W$159,MATCH($A187,$A$10:$A$37,0),MATCH(O$168,$C$9:$X$9,0)))</f>
        <v>7.2141889521167801</v>
      </c>
      <c r="P187" s="17">
        <v>0</v>
      </c>
      <c r="Q187" s="19">
        <f>2*(-1*INDEX('Desconto Processos'!$Z$5:$AC$32,MATCH(180-$A187,'Desconto Processos'!$A$5:$A$32,0),MATCH(Q$168,'Desconto Processos'!$Z$3:$AC$3,0))+INDEX('Acrescimo Tangente'!$B$132:$W$159,MATCH($A187,$A$10:$A$37,0),MATCH(Q$168,$C$9:$X$9,0)))</f>
        <v>7.317414324957987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28"/>
      <c r="Z187" s="25"/>
    </row>
    <row r="188" spans="1:26" ht="15.75" x14ac:dyDescent="0.25">
      <c r="A188" s="11">
        <v>110</v>
      </c>
      <c r="B188" s="19">
        <v>1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9">
        <f>2*(-1*INDEX('Desconto Processos'!$Z$5:$AC$32,MATCH(180-$A188,'Desconto Processos'!$A$5:$A$32,0),MATCH(J$168,'Desconto Processos'!$Z$3:$AC$3,0))+INDEX('Acrescimo Tangente'!$B$132:$W$159,MATCH($A188,$A$10:$A$37,0),MATCH(J$168,$C$9:$X$9,0)))</f>
        <v>7.5533320606790326</v>
      </c>
      <c r="K188" s="17">
        <v>0</v>
      </c>
      <c r="L188" s="19">
        <f>2*(-1*INDEX('Desconto Processos'!$Z$5:$AC$32,MATCH(180-$A188,'Desconto Processos'!$A$5:$A$32,0),MATCH(L$168,'Desconto Processos'!$Z$3:$AC$3,0))+INDEX('Acrescimo Tangente'!$B$132:$W$159,MATCH($A188,$A$10:$A$37,0),MATCH(L$168,$C$9:$X$9,0)))</f>
        <v>7.8958504660727238</v>
      </c>
      <c r="M188" s="17">
        <v>0</v>
      </c>
      <c r="N188" s="17">
        <v>0</v>
      </c>
      <c r="O188" s="19">
        <f>2*(-1*INDEX('Desconto Processos'!$Z$5:$AC$32,MATCH(180-$A188,'Desconto Processos'!$A$5:$A$32,0),MATCH(O$168,'Desconto Processos'!$Z$3:$AC$3,0))+INDEX('Acrescimo Tangente'!$B$132:$W$159,MATCH($A188,$A$10:$A$37,0),MATCH(O$168,$C$9:$X$9,0)))</f>
        <v>8.1383688714664153</v>
      </c>
      <c r="P188" s="17">
        <v>0</v>
      </c>
      <c r="Q188" s="19">
        <f>2*(-1*INDEX('Desconto Processos'!$Z$5:$AC$32,MATCH(180-$A188,'Desconto Processos'!$A$5:$A$32,0),MATCH(Q$168,'Desconto Processos'!$Z$3:$AC$3,0))+INDEX('Acrescimo Tangente'!$B$132:$W$159,MATCH($A188,$A$10:$A$37,0),MATCH(Q$168,$C$9:$X$9,0)))</f>
        <v>8.4665168782085303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28"/>
      <c r="Z188" s="25"/>
    </row>
    <row r="189" spans="1:26" ht="15.75" x14ac:dyDescent="0.25">
      <c r="A189" s="11">
        <v>115</v>
      </c>
      <c r="B189" s="19">
        <v>1</v>
      </c>
      <c r="C189" s="17">
        <v>0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9">
        <f>2*(-1*INDEX('Desconto Processos'!$Z$5:$AC$32,MATCH(180-$A189,'Desconto Processos'!$A$5:$A$32,0),MATCH(J$168,'Desconto Processos'!$Z$3:$AC$3,0))+INDEX('Acrescimo Tangente'!$B$132:$W$159,MATCH($A189,$A$10:$A$37,0),MATCH(J$168,$C$9:$X$9,0)))</f>
        <v>8.5271701940574118</v>
      </c>
      <c r="K189" s="17">
        <v>0</v>
      </c>
      <c r="L189" s="19">
        <f>2*(-1*INDEX('Desconto Processos'!$Z$5:$AC$32,MATCH(180-$A189,'Desconto Processos'!$A$5:$A$32,0),MATCH(L$168,'Desconto Processos'!$Z$3:$AC$3,0))+INDEX('Acrescimo Tangente'!$B$132:$W$159,MATCH($A189,$A$10:$A$37,0),MATCH(L$168,$C$9:$X$9,0)))</f>
        <v>8.7829186557514056</v>
      </c>
      <c r="M189" s="17">
        <v>0</v>
      </c>
      <c r="N189" s="17">
        <v>0</v>
      </c>
      <c r="O189" s="19">
        <f>2*(-1*INDEX('Desconto Processos'!$Z$5:$AC$32,MATCH(180-$A189,'Desconto Processos'!$A$5:$A$32,0),MATCH(O$168,'Desconto Processos'!$Z$3:$AC$3,0))+INDEX('Acrescimo Tangente'!$B$132:$W$159,MATCH($A189,$A$10:$A$37,0),MATCH(O$168,$C$9:$X$9,0)))</f>
        <v>9.3386671174453983</v>
      </c>
      <c r="P189" s="17">
        <v>0</v>
      </c>
      <c r="Q189" s="19">
        <f>2*(-1*INDEX('Desconto Processos'!$Z$5:$AC$32,MATCH(180-$A189,'Desconto Processos'!$A$5:$A$32,0),MATCH(Q$168,'Desconto Processos'!$Z$3:$AC$3,0))+INDEX('Acrescimo Tangente'!$B$132:$W$159,MATCH($A189,$A$10:$A$37,0),MATCH(Q$168,$C$9:$X$9,0)))</f>
        <v>9.8083526945628883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28"/>
      <c r="Z189" s="25"/>
    </row>
    <row r="190" spans="1:26" ht="15.75" x14ac:dyDescent="0.25">
      <c r="A190" s="11">
        <v>120</v>
      </c>
      <c r="B190" s="19">
        <v>1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9">
        <f>2*(-1*INDEX('Desconto Processos'!$Z$5:$AC$32,MATCH(180-$A190,'Desconto Processos'!$A$5:$A$32,0),MATCH(J$168,'Desconto Processos'!$Z$3:$AC$3,0))+INDEX('Acrescimo Tangente'!$B$132:$W$159,MATCH($A190,$A$10:$A$37,0),MATCH(J$168,$C$9:$X$9,0)))</f>
        <v>9.7884572681198971</v>
      </c>
      <c r="K190" s="17">
        <v>0</v>
      </c>
      <c r="L190" s="19">
        <f>2*(-1*INDEX('Desconto Processos'!$Z$5:$AC$32,MATCH(180-$A190,'Desconto Processos'!$A$5:$A$32,0),MATCH(L$168,'Desconto Processos'!$Z$3:$AC$3,0))+INDEX('Acrescimo Tangente'!$B$132:$W$159,MATCH($A190,$A$10:$A$37,0),MATCH(L$168,$C$9:$X$9,0)))</f>
        <v>10.274097914174998</v>
      </c>
      <c r="M190" s="17">
        <v>0</v>
      </c>
      <c r="N190" s="17">
        <v>0</v>
      </c>
      <c r="O190" s="19">
        <f>2*(-1*INDEX('Desconto Processos'!$Z$5:$AC$32,MATCH(180-$A190,'Desconto Processos'!$A$5:$A$32,0),MATCH(O$168,'Desconto Processos'!$Z$3:$AC$3,0))+INDEX('Acrescimo Tangente'!$B$132:$W$159,MATCH($A190,$A$10:$A$37,0),MATCH(O$168,$C$9:$X$9,0)))</f>
        <v>10.759738560230101</v>
      </c>
      <c r="P190" s="17">
        <v>0</v>
      </c>
      <c r="Q190" s="19">
        <f>2*(-1*INDEX('Desconto Processos'!$Z$5:$AC$32,MATCH(180-$A190,'Desconto Processos'!$A$5:$A$32,0),MATCH(Q$168,'Desconto Processos'!$Z$3:$AC$3,0))+INDEX('Acrescimo Tangente'!$B$132:$W$159,MATCH($A190,$A$10:$A$37,0),MATCH(Q$168,$C$9:$X$9,0)))</f>
        <v>11.391789367798978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28"/>
      <c r="Z190" s="25"/>
    </row>
    <row r="191" spans="1:26" ht="15.75" x14ac:dyDescent="0.25">
      <c r="A191" s="11">
        <v>125</v>
      </c>
      <c r="B191" s="19">
        <v>1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9">
        <f>2*(-1*INDEX('Desconto Processos'!$Z$5:$AC$32,MATCH(180-$A191,'Desconto Processos'!$A$5:$A$32,0),MATCH(J$168,'Desconto Processos'!$Z$3:$AC$3,0))+INDEX('Acrescimo Tangente'!$B$132:$W$159,MATCH($A191,$A$10:$A$37,0),MATCH(J$168,$C$9:$X$9,0)))</f>
        <v>11.288839142740494</v>
      </c>
      <c r="K191" s="17">
        <v>0</v>
      </c>
      <c r="L191" s="19">
        <f>2*(-1*INDEX('Desconto Processos'!$Z$5:$AC$32,MATCH(180-$A191,'Desconto Processos'!$A$5:$A$32,0),MATCH(L$168,'Desconto Processos'!$Z$3:$AC$3,0))+INDEX('Acrescimo Tangente'!$B$132:$W$159,MATCH($A191,$A$10:$A$37,0),MATCH(L$168,$C$9:$X$9,0)))</f>
        <v>11.825624844317428</v>
      </c>
      <c r="M191" s="17">
        <v>0</v>
      </c>
      <c r="N191" s="17">
        <v>0</v>
      </c>
      <c r="O191" s="19">
        <f>2*(-1*INDEX('Desconto Processos'!$Z$5:$AC$32,MATCH(180-$A191,'Desconto Processos'!$A$5:$A$32,0),MATCH(O$168,'Desconto Processos'!$Z$3:$AC$3,0))+INDEX('Acrescimo Tangente'!$B$132:$W$159,MATCH($A191,$A$10:$A$37,0),MATCH(O$168,$C$9:$X$9,0)))</f>
        <v>12.462410545894361</v>
      </c>
      <c r="P191" s="17">
        <v>0</v>
      </c>
      <c r="Q191" s="19">
        <f>2*(-1*INDEX('Desconto Processos'!$Z$5:$AC$32,MATCH(180-$A191,'Desconto Processos'!$A$5:$A$32,0),MATCH(Q$168,'Desconto Processos'!$Z$3:$AC$3,0))+INDEX('Acrescimo Tangente'!$B$132:$W$159,MATCH($A191,$A$10:$A$37,0),MATCH(Q$168,$C$9:$X$9,0)))</f>
        <v>13.183392672865528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28"/>
      <c r="Z191" s="25"/>
    </row>
    <row r="192" spans="1:26" ht="15.75" x14ac:dyDescent="0.25">
      <c r="A192" s="11">
        <v>130</v>
      </c>
      <c r="B192" s="19">
        <v>1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9">
        <f>2*(-1*INDEX('Desconto Processos'!$Z$5:$AC$32,MATCH(180-$A192,'Desconto Processos'!$A$5:$A$32,0),MATCH(J$168,'Desconto Processos'!$Z$3:$AC$3,0))+INDEX('Acrescimo Tangente'!$B$132:$W$159,MATCH($A192,$A$10:$A$37,0),MATCH(J$168,$C$9:$X$9,0)))</f>
        <v>13.100562284586029</v>
      </c>
      <c r="K192" s="17">
        <v>0</v>
      </c>
      <c r="L192" s="19">
        <f>2*(-1*INDEX('Desconto Processos'!$Z$5:$AC$32,MATCH(180-$A192,'Desconto Processos'!$A$5:$A$32,0),MATCH(L$168,'Desconto Processos'!$Z$3:$AC$3,0))+INDEX('Acrescimo Tangente'!$B$132:$W$159,MATCH($A192,$A$10:$A$37,0),MATCH(L$168,$C$9:$X$9,0)))</f>
        <v>13.816167820993677</v>
      </c>
      <c r="M192" s="17">
        <v>0</v>
      </c>
      <c r="N192" s="17">
        <v>0</v>
      </c>
      <c r="O192" s="19">
        <f>2*(-1*INDEX('Desconto Processos'!$Z$5:$AC$32,MATCH(180-$A192,'Desconto Processos'!$A$5:$A$32,0),MATCH(O$168,'Desconto Processos'!$Z$3:$AC$3,0))+INDEX('Acrescimo Tangente'!$B$132:$W$159,MATCH($A192,$A$10:$A$37,0),MATCH(O$168,$C$9:$X$9,0)))</f>
        <v>14.531773357401324</v>
      </c>
      <c r="P192" s="17">
        <v>0</v>
      </c>
      <c r="Q192" s="19">
        <f>2*(-1*INDEX('Desconto Processos'!$Z$5:$AC$32,MATCH(180-$A192,'Desconto Processos'!$A$5:$A$32,0),MATCH(Q$168,'Desconto Processos'!$Z$3:$AC$3,0))+INDEX('Acrescimo Tangente'!$B$132:$W$159,MATCH($A192,$A$10:$A$37,0),MATCH(Q$168,$C$9:$X$9,0)))</f>
        <v>15.476280277910885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28"/>
      <c r="Z192" s="25"/>
    </row>
    <row r="193" spans="1:26" ht="15.75" x14ac:dyDescent="0.25">
      <c r="A193" s="11">
        <v>135</v>
      </c>
      <c r="B193" s="19">
        <v>1</v>
      </c>
      <c r="C193" s="17">
        <v>0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9">
        <f>2*(-1*INDEX('Desconto Processos'!$Z$5:$AC$32,MATCH(180-$A193,'Desconto Processos'!$A$5:$A$32,0),MATCH(J$168,'Desconto Processos'!$Z$3:$AC$3,0))+INDEX('Acrescimo Tangente'!$B$132:$W$159,MATCH($A193,$A$10:$A$37,0),MATCH(J$168,$C$9:$X$9,0)))</f>
        <v>15.227922061357857</v>
      </c>
      <c r="K193" s="17">
        <v>0</v>
      </c>
      <c r="L193" s="19">
        <f>2*(-1*INDEX('Desconto Processos'!$Z$5:$AC$32,MATCH(180-$A193,'Desconto Processos'!$A$5:$A$32,0),MATCH(L$168,'Desconto Processos'!$Z$3:$AC$3,0))+INDEX('Acrescimo Tangente'!$B$132:$W$159,MATCH($A193,$A$10:$A$37,0),MATCH(L$168,$C$9:$X$9,0)))</f>
        <v>16.159292911256333</v>
      </c>
      <c r="M193" s="17">
        <v>0</v>
      </c>
      <c r="N193" s="17">
        <v>0</v>
      </c>
      <c r="O193" s="19">
        <f>2*(-1*INDEX('Desconto Processos'!$Z$5:$AC$32,MATCH(180-$A193,'Desconto Processos'!$A$5:$A$32,0),MATCH(O$168,'Desconto Processos'!$Z$3:$AC$3,0))+INDEX('Acrescimo Tangente'!$B$132:$W$159,MATCH($A193,$A$10:$A$37,0),MATCH(O$168,$C$9:$X$9,0)))</f>
        <v>17.090663761154811</v>
      </c>
      <c r="P193" s="17">
        <v>0</v>
      </c>
      <c r="Q193" s="19">
        <f>2*(-1*INDEX('Desconto Processos'!$Z$5:$AC$32,MATCH(180-$A193,'Desconto Processos'!$A$5:$A$32,0),MATCH(Q$168,'Desconto Processos'!$Z$3:$AC$3,0))+INDEX('Acrescimo Tangente'!$B$132:$W$159,MATCH($A193,$A$10:$A$37,0),MATCH(Q$168,$C$9:$X$9,0)))</f>
        <v>18.204877323527906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28"/>
      <c r="Z193" s="25"/>
    </row>
    <row r="194" spans="1:26" ht="15.75" x14ac:dyDescent="0.25">
      <c r="A194" s="11">
        <v>140</v>
      </c>
      <c r="B194" s="19">
        <v>1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9">
        <f>2*(-1*INDEX('Desconto Processos'!$Z$5:$AC$32,MATCH(180-$A194,'Desconto Processos'!$A$5:$A$32,0),MATCH(J$168,'Desconto Processos'!$Z$3:$AC$3,0))+INDEX('Acrescimo Tangente'!$B$132:$W$159,MATCH($A194,$A$10:$A$37,0),MATCH(J$168,$C$9:$X$9,0)))</f>
        <v>17.927296775091602</v>
      </c>
      <c r="K194" s="17">
        <v>0</v>
      </c>
      <c r="L194" s="19">
        <f>2*(-1*INDEX('Desconto Processos'!$Z$5:$AC$32,MATCH(180-$A194,'Desconto Processos'!$A$5:$A$32,0),MATCH(L$168,'Desconto Processos'!$Z$3:$AC$3,0))+INDEX('Acrescimo Tangente'!$B$132:$W$159,MATCH($A194,$A$10:$A$37,0),MATCH(L$168,$C$9:$X$9,0)))</f>
        <v>19.125278710655301</v>
      </c>
      <c r="M194" s="17">
        <v>0</v>
      </c>
      <c r="N194" s="17">
        <v>0</v>
      </c>
      <c r="O194" s="19">
        <f>2*(-1*INDEX('Desconto Processos'!$Z$5:$AC$32,MATCH(180-$A194,'Desconto Processos'!$A$5:$A$32,0),MATCH(O$168,'Desconto Processos'!$Z$3:$AC$3,0))+INDEX('Acrescimo Tangente'!$B$132:$W$159,MATCH($A194,$A$10:$A$37,0),MATCH(O$168,$C$9:$X$9,0)))</f>
        <v>20.323260646219001</v>
      </c>
      <c r="P194" s="17">
        <v>0</v>
      </c>
      <c r="Q194" s="19">
        <f>2*(-1*INDEX('Desconto Processos'!$Z$5:$AC$32,MATCH(180-$A194,'Desconto Processos'!$A$5:$A$32,0),MATCH(Q$168,'Desconto Processos'!$Z$3:$AC$3,0))+INDEX('Acrescimo Tangente'!$B$132:$W$159,MATCH($A194,$A$10:$A$37,0),MATCH(Q$168,$C$9:$X$9,0)))</f>
        <v>21.670738065673621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28"/>
      <c r="Z194" s="25"/>
    </row>
    <row r="195" spans="1:26" ht="15.75" x14ac:dyDescent="0.25">
      <c r="A195" s="11">
        <v>145</v>
      </c>
      <c r="B195" s="19">
        <v>1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9">
        <f>2*(-1*INDEX('Desconto Processos'!$Z$5:$AC$32,MATCH(180-$A195,'Desconto Processos'!$A$5:$A$32,0),MATCH(J$168,'Desconto Processos'!$Z$3:$AC$3,0))+INDEX('Acrescimo Tangente'!$B$132:$W$159,MATCH($A195,$A$10:$A$37,0),MATCH(J$168,$C$9:$X$9,0)))</f>
        <v>21.544353221268914</v>
      </c>
      <c r="K195" s="17">
        <v>0</v>
      </c>
      <c r="L195" s="19">
        <f>2*(-1*INDEX('Desconto Processos'!$Z$5:$AC$32,MATCH(180-$A195,'Desconto Processos'!$A$5:$A$32,0),MATCH(L$168,'Desconto Processos'!$Z$3:$AC$3,0))+INDEX('Acrescimo Tangente'!$B$132:$W$159,MATCH($A195,$A$10:$A$37,0),MATCH(L$168,$C$9:$X$9,0)))</f>
        <v>23.081629063159486</v>
      </c>
      <c r="M195" s="17">
        <v>0</v>
      </c>
      <c r="N195" s="17">
        <v>0</v>
      </c>
      <c r="O195" s="19">
        <f>2*(-1*INDEX('Desconto Processos'!$Z$5:$AC$32,MATCH(180-$A195,'Desconto Processos'!$A$5:$A$32,0),MATCH(O$168,'Desconto Processos'!$Z$3:$AC$3,0))+INDEX('Acrescimo Tangente'!$B$132:$W$159,MATCH($A195,$A$10:$A$37,0),MATCH(O$168,$C$9:$X$9,0)))</f>
        <v>24.518904905050057</v>
      </c>
      <c r="P195" s="17">
        <v>0</v>
      </c>
      <c r="Q195" s="19">
        <f>2*(-1*INDEX('Desconto Processos'!$Z$5:$AC$32,MATCH(180-$A195,'Desconto Processos'!$A$5:$A$32,0),MATCH(Q$168,'Desconto Processos'!$Z$3:$AC$3,0))+INDEX('Acrescimo Tangente'!$B$132:$W$159,MATCH($A195,$A$10:$A$37,0),MATCH(Q$168,$C$9:$X$9,0)))</f>
        <v>26.290499707413268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28"/>
      <c r="Z195" s="25"/>
    </row>
    <row r="196" spans="1:26" ht="15.75" x14ac:dyDescent="0.25">
      <c r="A196" s="11">
        <v>150</v>
      </c>
      <c r="B196" s="19">
        <v>1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9">
        <f>2*(-1*INDEX('Desconto Processos'!$Z$5:$AC$32,MATCH(180-$A196,'Desconto Processos'!$A$5:$A$32,0),MATCH(J$168,'Desconto Processos'!$Z$3:$AC$3,0))+INDEX('Acrescimo Tangente'!$B$132:$W$159,MATCH($A196,$A$10:$A$37,0),MATCH(J$168,$C$9:$X$9,0)))</f>
        <v>26.3884572681199</v>
      </c>
      <c r="K196" s="17">
        <v>0</v>
      </c>
      <c r="L196" s="19">
        <f>2*(-1*INDEX('Desconto Processos'!$Z$5:$AC$32,MATCH(180-$A196,'Desconto Processos'!$A$5:$A$32,0),MATCH(L$168,'Desconto Processos'!$Z$3:$AC$3,0))+INDEX('Acrescimo Tangente'!$B$132:$W$159,MATCH($A196,$A$10:$A$37,0),MATCH(L$168,$C$9:$X$9,0)))</f>
        <v>28.274097914175002</v>
      </c>
      <c r="M196" s="17">
        <v>0</v>
      </c>
      <c r="N196" s="17">
        <v>0</v>
      </c>
      <c r="O196" s="19">
        <f>2*(-1*INDEX('Desconto Processos'!$Z$5:$AC$32,MATCH(180-$A196,'Desconto Processos'!$A$5:$A$32,0),MATCH(O$168,'Desconto Processos'!$Z$3:$AC$3,0))+INDEX('Acrescimo Tangente'!$B$132:$W$159,MATCH($A196,$A$10:$A$37,0),MATCH(O$168,$C$9:$X$9,0)))</f>
        <v>30.159738560230103</v>
      </c>
      <c r="P196" s="17">
        <v>0</v>
      </c>
      <c r="Q196" s="19">
        <f>2*(-1*INDEX('Desconto Processos'!$Z$5:$AC$32,MATCH(180-$A196,'Desconto Processos'!$A$5:$A$32,0),MATCH(Q$168,'Desconto Processos'!$Z$3:$AC$3,0))+INDEX('Acrescimo Tangente'!$B$132:$W$159,MATCH($A196,$A$10:$A$37,0),MATCH(Q$168,$C$9:$X$9,0)))</f>
        <v>32.49178936779898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28"/>
      <c r="Z196" s="25"/>
    </row>
    <row r="197" spans="1:26" ht="15.75" thickBot="1" x14ac:dyDescent="0.25">
      <c r="A197" s="7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6" ht="16.5" thickBot="1" x14ac:dyDescent="0.3">
      <c r="A198" s="8" t="s">
        <v>5</v>
      </c>
      <c r="B198" s="16">
        <v>3</v>
      </c>
      <c r="C198" s="2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6" ht="16.5" thickBot="1" x14ac:dyDescent="0.25">
      <c r="A199" s="114" t="s">
        <v>6</v>
      </c>
      <c r="B199" s="116" t="s">
        <v>7</v>
      </c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8"/>
    </row>
    <row r="200" spans="1:26" ht="16.5" thickBot="1" x14ac:dyDescent="0.3">
      <c r="A200" s="115"/>
      <c r="B200" s="18">
        <v>0.5</v>
      </c>
      <c r="C200" s="15">
        <v>1</v>
      </c>
      <c r="D200" s="15">
        <v>1.1000000000000001</v>
      </c>
      <c r="E200" s="15">
        <v>1.2</v>
      </c>
      <c r="F200" s="15">
        <v>1.3</v>
      </c>
      <c r="G200" s="15">
        <v>1.4</v>
      </c>
      <c r="H200" s="15">
        <v>1.6</v>
      </c>
      <c r="I200" s="15">
        <v>1.7</v>
      </c>
      <c r="J200" s="15">
        <v>1.9</v>
      </c>
      <c r="K200" s="18">
        <v>2</v>
      </c>
      <c r="L200" s="15">
        <v>2.2999999999999998</v>
      </c>
      <c r="M200" s="15">
        <v>2.5</v>
      </c>
      <c r="N200" s="18">
        <v>2.6</v>
      </c>
      <c r="O200" s="15">
        <v>2.7</v>
      </c>
      <c r="P200" s="15">
        <v>3</v>
      </c>
      <c r="Q200" s="15">
        <v>3.2</v>
      </c>
      <c r="R200" s="18">
        <v>3.3</v>
      </c>
      <c r="S200" s="15">
        <v>3.4</v>
      </c>
      <c r="T200" s="15">
        <v>3.7</v>
      </c>
      <c r="U200" s="15">
        <v>3.9</v>
      </c>
      <c r="V200" s="15">
        <v>4.3</v>
      </c>
      <c r="W200" s="15">
        <v>4.5</v>
      </c>
      <c r="X200" s="15">
        <v>5.5</v>
      </c>
      <c r="Y200" s="28"/>
      <c r="Z200" s="25"/>
    </row>
    <row r="201" spans="1:26" ht="15.75" x14ac:dyDescent="0.25">
      <c r="A201" s="11">
        <v>15</v>
      </c>
      <c r="B201" s="19">
        <v>0.8</v>
      </c>
      <c r="C201" s="17">
        <v>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9">
        <f>2*(-1*INDEX('Desconto Processos'!$AD$5:$AF$32,MATCH(180-$A201,'Desconto Processos'!$A$5:$A$32,0),MATCH(K$200,'Desconto Processos'!$AD$3:$AF$3,0))+INDEX('Acrescimo Tangente'!$B$164:$W$189,MATCH($A201,$A$10:$A$37,0),MATCH(K$200,$C$9:$X$9,0)))</f>
        <v>0.2</v>
      </c>
      <c r="L201" s="17">
        <v>0</v>
      </c>
      <c r="M201" s="17">
        <v>0</v>
      </c>
      <c r="N201" s="19">
        <f>2*(-1*INDEX('Desconto Processos'!$AD$5:$AF$32,MATCH(180-$A201,'Desconto Processos'!$A$5:$A$32,0),MATCH(N$200,'Desconto Processos'!$AD$3:$AF$3,0))+INDEX('Acrescimo Tangente'!$B$164:$W$189,MATCH($A201,$A$10:$A$37,0),MATCH(N$200,$C$9:$X$9,0)))</f>
        <v>0.2</v>
      </c>
      <c r="O201" s="17">
        <v>0</v>
      </c>
      <c r="P201" s="17">
        <v>0</v>
      </c>
      <c r="Q201" s="17">
        <v>0</v>
      </c>
      <c r="R201" s="19">
        <f>2*(-1*INDEX('Desconto Processos'!$AD$5:$AF$32,MATCH(180-$A201,'Desconto Processos'!$A$5:$A$32,0),MATCH(R$200,'Desconto Processos'!$AD$3:$AF$3,0))+INDEX('Acrescimo Tangente'!$B$164:$W$189,MATCH($A201,$A$10:$A$37,0),MATCH(R$200,$C$9:$X$9,0)))</f>
        <v>0.5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28"/>
      <c r="Z201" s="25"/>
    </row>
    <row r="202" spans="1:26" ht="15.75" x14ac:dyDescent="0.25">
      <c r="A202" s="11">
        <v>20</v>
      </c>
      <c r="B202" s="19">
        <v>0.8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9">
        <f>2*(-1*INDEX('Desconto Processos'!$AD$5:$AF$32,MATCH(180-$A202,'Desconto Processos'!$A$5:$A$32,0),MATCH(K$200,'Desconto Processos'!$AD$3:$AF$3,0))+INDEX('Acrescimo Tangente'!$B$164:$W$189,MATCH($A202,$A$10:$A$37,0),MATCH(K$200,$C$9:$X$9,0)))</f>
        <v>0.2</v>
      </c>
      <c r="L202" s="17">
        <v>0</v>
      </c>
      <c r="M202" s="17">
        <v>0</v>
      </c>
      <c r="N202" s="19">
        <f>2*(-1*INDEX('Desconto Processos'!$AD$5:$AF$32,MATCH(180-$A202,'Desconto Processos'!$A$5:$A$32,0),MATCH(N$200,'Desconto Processos'!$AD$3:$AF$3,0))+INDEX('Acrescimo Tangente'!$B$164:$W$189,MATCH($A202,$A$10:$A$37,0),MATCH(N$200,$C$9:$X$9,0)))</f>
        <v>0.2</v>
      </c>
      <c r="O202" s="17">
        <v>0</v>
      </c>
      <c r="P202" s="17">
        <v>0</v>
      </c>
      <c r="Q202" s="17">
        <v>0</v>
      </c>
      <c r="R202" s="19">
        <f>2*(-1*INDEX('Desconto Processos'!$AD$5:$AF$32,MATCH(180-$A202,'Desconto Processos'!$A$5:$A$32,0),MATCH(R$200,'Desconto Processos'!$AD$3:$AF$3,0))+INDEX('Acrescimo Tangente'!$B$164:$W$189,MATCH($A202,$A$10:$A$37,0),MATCH(R$200,$C$9:$X$9,0)))</f>
        <v>0.7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28"/>
      <c r="Z202" s="25"/>
    </row>
    <row r="203" spans="1:26" ht="15.75" x14ac:dyDescent="0.25">
      <c r="A203" s="11">
        <v>25</v>
      </c>
      <c r="B203" s="19">
        <v>0.8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9">
        <f>2*(-1*INDEX('Desconto Processos'!$AD$5:$AF$32,MATCH(180-$A203,'Desconto Processos'!$A$5:$A$32,0),MATCH(K$200,'Desconto Processos'!$AD$3:$AF$3,0))+INDEX('Acrescimo Tangente'!$B$164:$W$189,MATCH($A203,$A$10:$A$37,0),MATCH(K$200,$C$9:$X$9,0)))</f>
        <v>0.3</v>
      </c>
      <c r="L203" s="17">
        <v>0</v>
      </c>
      <c r="M203" s="17">
        <v>0</v>
      </c>
      <c r="N203" s="19">
        <f>2*(-1*INDEX('Desconto Processos'!$AD$5:$AF$32,MATCH(180-$A203,'Desconto Processos'!$A$5:$A$32,0),MATCH(N$200,'Desconto Processos'!$AD$3:$AF$3,0))+INDEX('Acrescimo Tangente'!$B$164:$W$189,MATCH($A203,$A$10:$A$37,0),MATCH(N$200,$C$9:$X$9,0)))</f>
        <v>0.3</v>
      </c>
      <c r="O203" s="17">
        <v>0</v>
      </c>
      <c r="P203" s="17">
        <v>0</v>
      </c>
      <c r="Q203" s="17">
        <v>0</v>
      </c>
      <c r="R203" s="19">
        <f>2*(-1*INDEX('Desconto Processos'!$AD$5:$AF$32,MATCH(180-$A203,'Desconto Processos'!$A$5:$A$32,0),MATCH(R$200,'Desconto Processos'!$AD$3:$AF$3,0))+INDEX('Acrescimo Tangente'!$B$164:$W$189,MATCH($A203,$A$10:$A$37,0),MATCH(R$200,$C$9:$X$9,0)))</f>
        <v>0.9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28"/>
      <c r="Z203" s="25"/>
    </row>
    <row r="204" spans="1:26" ht="15.75" x14ac:dyDescent="0.25">
      <c r="A204" s="11">
        <v>30</v>
      </c>
      <c r="B204" s="19">
        <v>0.8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9">
        <f>2*(-1*INDEX('Desconto Processos'!$AD$5:$AF$32,MATCH(180-$A204,'Desconto Processos'!$A$5:$A$32,0),MATCH(K$200,'Desconto Processos'!$AD$3:$AF$3,0))+INDEX('Acrescimo Tangente'!$B$164:$W$189,MATCH($A204,$A$10:$A$37,0),MATCH(K$200,$C$9:$X$9,0)))</f>
        <v>0.5</v>
      </c>
      <c r="L204" s="17">
        <v>0</v>
      </c>
      <c r="M204" s="17">
        <v>0</v>
      </c>
      <c r="N204" s="19">
        <f>2*(-1*INDEX('Desconto Processos'!$AD$5:$AF$32,MATCH(180-$A204,'Desconto Processos'!$A$5:$A$32,0),MATCH(N$200,'Desconto Processos'!$AD$3:$AF$3,0))+INDEX('Acrescimo Tangente'!$B$164:$W$189,MATCH($A204,$A$10:$A$37,0),MATCH(N$200,$C$9:$X$9,0)))</f>
        <v>0.4</v>
      </c>
      <c r="O204" s="17">
        <v>0</v>
      </c>
      <c r="P204" s="17">
        <v>0</v>
      </c>
      <c r="Q204" s="17">
        <v>0</v>
      </c>
      <c r="R204" s="19">
        <f>2*(-1*INDEX('Desconto Processos'!$AD$5:$AF$32,MATCH(180-$A204,'Desconto Processos'!$A$5:$A$32,0),MATCH(R$200,'Desconto Processos'!$AD$3:$AF$3,0))+INDEX('Acrescimo Tangente'!$B$164:$W$189,MATCH($A204,$A$10:$A$37,0),MATCH(R$200,$C$9:$X$9,0)))</f>
        <v>1.2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28"/>
      <c r="Z204" s="25"/>
    </row>
    <row r="205" spans="1:26" ht="15.75" x14ac:dyDescent="0.25">
      <c r="A205" s="11">
        <v>35</v>
      </c>
      <c r="B205" s="19">
        <v>0.8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9">
        <f>2*(-1*INDEX('Desconto Processos'!$AD$5:$AF$32,MATCH(180-$A205,'Desconto Processos'!$A$5:$A$32,0),MATCH(K$200,'Desconto Processos'!$AD$3:$AF$3,0))+INDEX('Acrescimo Tangente'!$B$164:$W$189,MATCH($A205,$A$10:$A$37,0),MATCH(K$200,$C$9:$X$9,0)))</f>
        <v>0.6</v>
      </c>
      <c r="L205" s="17">
        <v>0</v>
      </c>
      <c r="M205" s="17">
        <v>0</v>
      </c>
      <c r="N205" s="19">
        <f>2*(-1*INDEX('Desconto Processos'!$AD$5:$AF$32,MATCH(180-$A205,'Desconto Processos'!$A$5:$A$32,0),MATCH(N$200,'Desconto Processos'!$AD$3:$AF$3,0))+INDEX('Acrescimo Tangente'!$B$164:$W$189,MATCH($A205,$A$10:$A$37,0),MATCH(N$200,$C$9:$X$9,0)))</f>
        <v>0.6</v>
      </c>
      <c r="O205" s="17">
        <v>0</v>
      </c>
      <c r="P205" s="17">
        <v>0</v>
      </c>
      <c r="Q205" s="17">
        <v>0</v>
      </c>
      <c r="R205" s="19">
        <f>2*(-1*INDEX('Desconto Processos'!$AD$5:$AF$32,MATCH(180-$A205,'Desconto Processos'!$A$5:$A$32,0),MATCH(R$200,'Desconto Processos'!$AD$3:$AF$3,0))+INDEX('Acrescimo Tangente'!$B$164:$W$189,MATCH($A205,$A$10:$A$37,0),MATCH(R$200,$C$9:$X$9,0)))</f>
        <v>1.4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28"/>
      <c r="Z205" s="25"/>
    </row>
    <row r="206" spans="1:26" ht="15.75" x14ac:dyDescent="0.25">
      <c r="A206" s="11">
        <v>40</v>
      </c>
      <c r="B206" s="19">
        <v>0.8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9">
        <f>2*(-1*INDEX('Desconto Processos'!$AD$5:$AF$32,MATCH(180-$A206,'Desconto Processos'!$A$5:$A$32,0),MATCH(K$200,'Desconto Processos'!$AD$3:$AF$3,0))+INDEX('Acrescimo Tangente'!$B$164:$W$189,MATCH($A206,$A$10:$A$37,0),MATCH(K$200,$C$9:$X$9,0)))</f>
        <v>0.8</v>
      </c>
      <c r="L206" s="17">
        <v>0</v>
      </c>
      <c r="M206" s="17">
        <v>0</v>
      </c>
      <c r="N206" s="19">
        <f>2*(-1*INDEX('Desconto Processos'!$AD$5:$AF$32,MATCH(180-$A206,'Desconto Processos'!$A$5:$A$32,0),MATCH(N$200,'Desconto Processos'!$AD$3:$AF$3,0))+INDEX('Acrescimo Tangente'!$B$164:$W$189,MATCH($A206,$A$10:$A$37,0),MATCH(N$200,$C$9:$X$9,0)))</f>
        <v>0.8</v>
      </c>
      <c r="O206" s="17">
        <v>0</v>
      </c>
      <c r="P206" s="17">
        <v>0</v>
      </c>
      <c r="Q206" s="17">
        <v>0</v>
      </c>
      <c r="R206" s="19">
        <f>2*(-1*INDEX('Desconto Processos'!$AD$5:$AF$32,MATCH(180-$A206,'Desconto Processos'!$A$5:$A$32,0),MATCH(R$200,'Desconto Processos'!$AD$3:$AF$3,0))+INDEX('Acrescimo Tangente'!$B$164:$W$189,MATCH($A206,$A$10:$A$37,0),MATCH(R$200,$C$9:$X$9,0)))</f>
        <v>1.6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28"/>
      <c r="Z206" s="25"/>
    </row>
    <row r="207" spans="1:26" ht="15.75" x14ac:dyDescent="0.25">
      <c r="A207" s="11">
        <v>45</v>
      </c>
      <c r="B207" s="19">
        <v>0.8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9">
        <f>2*(-1*INDEX('Desconto Processos'!$AD$5:$AF$32,MATCH(180-$A207,'Desconto Processos'!$A$5:$A$32,0),MATCH(K$200,'Desconto Processos'!$AD$3:$AF$3,0))+INDEX('Acrescimo Tangente'!$B$164:$W$189,MATCH($A207,$A$10:$A$37,0),MATCH(K$200,$C$9:$X$9,0)))</f>
        <v>1.1000000000000001</v>
      </c>
      <c r="L207" s="17">
        <v>0</v>
      </c>
      <c r="M207" s="17">
        <v>0</v>
      </c>
      <c r="N207" s="19">
        <f>2*(-1*INDEX('Desconto Processos'!$AD$5:$AF$32,MATCH(180-$A207,'Desconto Processos'!$A$5:$A$32,0),MATCH(N$200,'Desconto Processos'!$AD$3:$AF$3,0))+INDEX('Acrescimo Tangente'!$B$164:$W$189,MATCH($A207,$A$10:$A$37,0),MATCH(N$200,$C$9:$X$9,0)))</f>
        <v>1.1000000000000001</v>
      </c>
      <c r="O207" s="17">
        <v>0</v>
      </c>
      <c r="P207" s="17">
        <v>0</v>
      </c>
      <c r="Q207" s="17">
        <v>0</v>
      </c>
      <c r="R207" s="19">
        <f>2*(-1*INDEX('Desconto Processos'!$AD$5:$AF$32,MATCH(180-$A207,'Desconto Processos'!$A$5:$A$32,0),MATCH(R$200,'Desconto Processos'!$AD$3:$AF$3,0))+INDEX('Acrescimo Tangente'!$B$164:$W$189,MATCH($A207,$A$10:$A$37,0),MATCH(R$200,$C$9:$X$9,0)))</f>
        <v>1.8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28"/>
      <c r="Z207" s="25"/>
    </row>
    <row r="208" spans="1:26" ht="15.75" x14ac:dyDescent="0.25">
      <c r="A208" s="11">
        <v>50</v>
      </c>
      <c r="B208" s="19">
        <v>0.8</v>
      </c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9">
        <f>2*(-1*INDEX('Desconto Processos'!$AD$5:$AF$32,MATCH(180-$A208,'Desconto Processos'!$A$5:$A$32,0),MATCH(K$200,'Desconto Processos'!$AD$3:$AF$3,0))+INDEX('Acrescimo Tangente'!$B$164:$W$189,MATCH($A208,$A$10:$A$37,0),MATCH(K$200,$C$9:$X$9,0)))</f>
        <v>1.4</v>
      </c>
      <c r="L208" s="17">
        <v>0</v>
      </c>
      <c r="M208" s="17">
        <v>0</v>
      </c>
      <c r="N208" s="19">
        <f>2*(-1*INDEX('Desconto Processos'!$AD$5:$AF$32,MATCH(180-$A208,'Desconto Processos'!$A$5:$A$32,0),MATCH(N$200,'Desconto Processos'!$AD$3:$AF$3,0))+INDEX('Acrescimo Tangente'!$B$164:$W$189,MATCH($A208,$A$10:$A$37,0),MATCH(N$200,$C$9:$X$9,0)))</f>
        <v>1.3</v>
      </c>
      <c r="O208" s="17">
        <v>0</v>
      </c>
      <c r="P208" s="17">
        <v>0</v>
      </c>
      <c r="Q208" s="17">
        <v>0</v>
      </c>
      <c r="R208" s="19">
        <f>2*(-1*INDEX('Desconto Processos'!$AD$5:$AF$32,MATCH(180-$A208,'Desconto Processos'!$A$5:$A$32,0),MATCH(R$200,'Desconto Processos'!$AD$3:$AF$3,0))+INDEX('Acrescimo Tangente'!$B$164:$W$189,MATCH($A208,$A$10:$A$37,0),MATCH(R$200,$C$9:$X$9,0)))</f>
        <v>2.1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28"/>
      <c r="Z208" s="25"/>
    </row>
    <row r="209" spans="1:26" ht="15.75" x14ac:dyDescent="0.25">
      <c r="A209" s="11">
        <v>55</v>
      </c>
      <c r="B209" s="19">
        <v>0.8</v>
      </c>
      <c r="C209" s="17">
        <v>0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9">
        <f>2*(-1*INDEX('Desconto Processos'!$AD$5:$AF$32,MATCH(180-$A209,'Desconto Processos'!$A$5:$A$32,0),MATCH(K$200,'Desconto Processos'!$AD$3:$AF$3,0))+INDEX('Acrescimo Tangente'!$B$164:$W$189,MATCH($A209,$A$10:$A$37,0),MATCH(K$200,$C$9:$X$9,0)))</f>
        <v>1.5</v>
      </c>
      <c r="L209" s="17">
        <v>0</v>
      </c>
      <c r="M209" s="17">
        <v>0</v>
      </c>
      <c r="N209" s="19">
        <f>2*(-1*INDEX('Desconto Processos'!$AD$5:$AF$32,MATCH(180-$A209,'Desconto Processos'!$A$5:$A$32,0),MATCH(N$200,'Desconto Processos'!$AD$3:$AF$3,0))+INDEX('Acrescimo Tangente'!$B$164:$W$189,MATCH($A209,$A$10:$A$37,0),MATCH(N$200,$C$9:$X$9,0)))</f>
        <v>1.6</v>
      </c>
      <c r="O209" s="17">
        <v>0</v>
      </c>
      <c r="P209" s="17">
        <v>0</v>
      </c>
      <c r="Q209" s="17">
        <v>0</v>
      </c>
      <c r="R209" s="19">
        <f>2*(-1*INDEX('Desconto Processos'!$AD$5:$AF$32,MATCH(180-$A209,'Desconto Processos'!$A$5:$A$32,0),MATCH(R$200,'Desconto Processos'!$AD$3:$AF$3,0))+INDEX('Acrescimo Tangente'!$B$164:$W$189,MATCH($A209,$A$10:$A$37,0),MATCH(R$200,$C$9:$X$9,0)))</f>
        <v>2.4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28"/>
      <c r="Z209" s="25"/>
    </row>
    <row r="210" spans="1:26" ht="15.75" x14ac:dyDescent="0.25">
      <c r="A210" s="11">
        <v>60</v>
      </c>
      <c r="B210" s="19">
        <v>0.8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9">
        <f>2*(-1*INDEX('Desconto Processos'!$AD$5:$AF$32,MATCH(180-$A210,'Desconto Processos'!$A$5:$A$32,0),MATCH(K$200,'Desconto Processos'!$AD$3:$AF$3,0))+INDEX('Acrescimo Tangente'!$B$164:$W$189,MATCH($A210,$A$10:$A$37,0),MATCH(K$200,$C$9:$X$9,0)))</f>
        <v>1.9</v>
      </c>
      <c r="L210" s="17">
        <v>0</v>
      </c>
      <c r="M210" s="17">
        <v>0</v>
      </c>
      <c r="N210" s="19">
        <f>2*(-1*INDEX('Desconto Processos'!$AD$5:$AF$32,MATCH(180-$A210,'Desconto Processos'!$A$5:$A$32,0),MATCH(N$200,'Desconto Processos'!$AD$3:$AF$3,0))+INDEX('Acrescimo Tangente'!$B$164:$W$189,MATCH($A210,$A$10:$A$37,0),MATCH(N$200,$C$9:$X$9,0)))</f>
        <v>2</v>
      </c>
      <c r="O210" s="17">
        <v>0</v>
      </c>
      <c r="P210" s="17">
        <v>0</v>
      </c>
      <c r="Q210" s="17">
        <v>0</v>
      </c>
      <c r="R210" s="19">
        <f>2*(-1*INDEX('Desconto Processos'!$AD$5:$AF$32,MATCH(180-$A210,'Desconto Processos'!$A$5:$A$32,0),MATCH(R$200,'Desconto Processos'!$AD$3:$AF$3,0))+INDEX('Acrescimo Tangente'!$B$164:$W$189,MATCH($A210,$A$10:$A$37,0),MATCH(R$200,$C$9:$X$9,0)))</f>
        <v>2.8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28"/>
      <c r="Z210" s="25"/>
    </row>
    <row r="211" spans="1:26" ht="15.75" x14ac:dyDescent="0.25">
      <c r="A211" s="11">
        <v>65</v>
      </c>
      <c r="B211" s="19">
        <v>0.8</v>
      </c>
      <c r="C211" s="17">
        <v>0</v>
      </c>
      <c r="D211" s="17">
        <v>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9">
        <f>2*(-1*INDEX('Desconto Processos'!$AD$5:$AF$32,MATCH(180-$A211,'Desconto Processos'!$A$5:$A$32,0),MATCH(K$200,'Desconto Processos'!$AD$3:$AF$3,0))+INDEX('Acrescimo Tangente'!$B$164:$W$189,MATCH($A211,$A$10:$A$37,0),MATCH(K$200,$C$9:$X$9,0)))</f>
        <v>2.2000000000000002</v>
      </c>
      <c r="L211" s="17">
        <v>0</v>
      </c>
      <c r="M211" s="17">
        <v>0</v>
      </c>
      <c r="N211" s="19">
        <f>2*(-1*INDEX('Desconto Processos'!$AD$5:$AF$32,MATCH(180-$A211,'Desconto Processos'!$A$5:$A$32,0),MATCH(N$200,'Desconto Processos'!$AD$3:$AF$3,0))+INDEX('Acrescimo Tangente'!$B$164:$W$189,MATCH($A211,$A$10:$A$37,0),MATCH(N$200,$C$9:$X$9,0)))</f>
        <v>2.2999999999999998</v>
      </c>
      <c r="O211" s="17">
        <v>0</v>
      </c>
      <c r="P211" s="17">
        <v>0</v>
      </c>
      <c r="Q211" s="17">
        <v>0</v>
      </c>
      <c r="R211" s="19">
        <f>2*(-1*INDEX('Desconto Processos'!$AD$5:$AF$32,MATCH(180-$A211,'Desconto Processos'!$A$5:$A$32,0),MATCH(R$200,'Desconto Processos'!$AD$3:$AF$3,0))+INDEX('Acrescimo Tangente'!$B$164:$W$189,MATCH($A211,$A$10:$A$37,0),MATCH(R$200,$C$9:$X$9,0)))</f>
        <v>3.2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28"/>
      <c r="Z211" s="25"/>
    </row>
    <row r="212" spans="1:26" ht="15.75" x14ac:dyDescent="0.25">
      <c r="A212" s="11">
        <v>70</v>
      </c>
      <c r="B212" s="19">
        <v>0.8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9">
        <f>2*(-1*INDEX('Desconto Processos'!$AD$5:$AF$32,MATCH(180-$A212,'Desconto Processos'!$A$5:$A$32,0),MATCH(K$200,'Desconto Processos'!$AD$3:$AF$3,0))+INDEX('Acrescimo Tangente'!$B$164:$W$189,MATCH($A212,$A$10:$A$37,0),MATCH(K$200,$C$9:$X$9,0)))</f>
        <v>2.6</v>
      </c>
      <c r="L212" s="17">
        <v>0</v>
      </c>
      <c r="M212" s="17">
        <v>0</v>
      </c>
      <c r="N212" s="19">
        <f>2*(-1*INDEX('Desconto Processos'!$AD$5:$AF$32,MATCH(180-$A212,'Desconto Processos'!$A$5:$A$32,0),MATCH(N$200,'Desconto Processos'!$AD$3:$AF$3,0))+INDEX('Acrescimo Tangente'!$B$164:$W$189,MATCH($A212,$A$10:$A$37,0),MATCH(N$200,$C$9:$X$9,0)))</f>
        <v>2.7</v>
      </c>
      <c r="O212" s="17">
        <v>0</v>
      </c>
      <c r="P212" s="17">
        <v>0</v>
      </c>
      <c r="Q212" s="17">
        <v>0</v>
      </c>
      <c r="R212" s="19">
        <f>2*(-1*INDEX('Desconto Processos'!$AD$5:$AF$32,MATCH(180-$A212,'Desconto Processos'!$A$5:$A$32,0),MATCH(R$200,'Desconto Processos'!$AD$3:$AF$3,0))+INDEX('Acrescimo Tangente'!$B$164:$W$189,MATCH($A212,$A$10:$A$37,0),MATCH(R$200,$C$9:$X$9,0)))</f>
        <v>3.6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28"/>
      <c r="Z212" s="25"/>
    </row>
    <row r="213" spans="1:26" ht="15.75" x14ac:dyDescent="0.25">
      <c r="A213" s="11">
        <v>75</v>
      </c>
      <c r="B213" s="19">
        <v>0.8</v>
      </c>
      <c r="C213" s="17">
        <v>0</v>
      </c>
      <c r="D213" s="17">
        <v>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9">
        <f>2*(-1*INDEX('Desconto Processos'!$AD$5:$AF$32,MATCH(180-$A213,'Desconto Processos'!$A$5:$A$32,0),MATCH(K$200,'Desconto Processos'!$AD$3:$AF$3,0))+INDEX('Acrescimo Tangente'!$B$164:$W$189,MATCH($A213,$A$10:$A$37,0),MATCH(K$200,$C$9:$X$9,0)))</f>
        <v>3</v>
      </c>
      <c r="L213" s="17">
        <v>0</v>
      </c>
      <c r="M213" s="17">
        <v>0</v>
      </c>
      <c r="N213" s="19">
        <f>2*(-1*INDEX('Desconto Processos'!$AD$5:$AF$32,MATCH(180-$A213,'Desconto Processos'!$A$5:$A$32,0),MATCH(N$200,'Desconto Processos'!$AD$3:$AF$3,0))+INDEX('Acrescimo Tangente'!$B$164:$W$189,MATCH($A213,$A$10:$A$37,0),MATCH(N$200,$C$9:$X$9,0)))</f>
        <v>3.2</v>
      </c>
      <c r="O213" s="17">
        <v>0</v>
      </c>
      <c r="P213" s="17">
        <v>0</v>
      </c>
      <c r="Q213" s="17">
        <v>0</v>
      </c>
      <c r="R213" s="19">
        <f>2*(-1*INDEX('Desconto Processos'!$AD$5:$AF$32,MATCH(180-$A213,'Desconto Processos'!$A$5:$A$32,0),MATCH(R$200,'Desconto Processos'!$AD$3:$AF$3,0))+INDEX('Acrescimo Tangente'!$B$164:$W$189,MATCH($A213,$A$10:$A$37,0),MATCH(R$200,$C$9:$X$9,0)))</f>
        <v>4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28"/>
      <c r="Z213" s="25"/>
    </row>
    <row r="214" spans="1:26" ht="15.75" x14ac:dyDescent="0.25">
      <c r="A214" s="11">
        <v>80</v>
      </c>
      <c r="B214" s="19">
        <v>0.8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9">
        <f>2*(-1*INDEX('Desconto Processos'!$AD$5:$AF$32,MATCH(180-$A214,'Desconto Processos'!$A$5:$A$32,0),MATCH(K$200,'Desconto Processos'!$AD$3:$AF$3,0))+INDEX('Acrescimo Tangente'!$B$164:$W$189,MATCH($A214,$A$10:$A$37,0),MATCH(K$200,$C$9:$X$9,0)))</f>
        <v>3.6</v>
      </c>
      <c r="L214" s="17">
        <v>0</v>
      </c>
      <c r="M214" s="17">
        <v>0</v>
      </c>
      <c r="N214" s="19">
        <f>2*(-1*INDEX('Desconto Processos'!$AD$5:$AF$32,MATCH(180-$A214,'Desconto Processos'!$A$5:$A$32,0),MATCH(N$200,'Desconto Processos'!$AD$3:$AF$3,0))+INDEX('Acrescimo Tangente'!$B$164:$W$189,MATCH($A214,$A$10:$A$37,0),MATCH(N$200,$C$9:$X$9,0)))</f>
        <v>3.7</v>
      </c>
      <c r="O214" s="17">
        <v>0</v>
      </c>
      <c r="P214" s="17">
        <v>0</v>
      </c>
      <c r="Q214" s="17">
        <v>0</v>
      </c>
      <c r="R214" s="19">
        <f>2*(-1*INDEX('Desconto Processos'!$AD$5:$AF$32,MATCH(180-$A214,'Desconto Processos'!$A$5:$A$32,0),MATCH(R$200,'Desconto Processos'!$AD$3:$AF$3,0))+INDEX('Acrescimo Tangente'!$B$164:$W$189,MATCH($A214,$A$10:$A$37,0),MATCH(R$200,$C$9:$X$9,0)))</f>
        <v>4.5999999999999996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28"/>
      <c r="Z214" s="25"/>
    </row>
    <row r="215" spans="1:26" ht="15.75" x14ac:dyDescent="0.25">
      <c r="A215" s="11">
        <v>85</v>
      </c>
      <c r="B215" s="19">
        <v>0.8</v>
      </c>
      <c r="C215" s="17">
        <v>0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9">
        <f>2*(-1*INDEX('Desconto Processos'!$AD$5:$AF$32,MATCH(180-$A215,'Desconto Processos'!$A$5:$A$32,0),MATCH(K$200,'Desconto Processos'!$AD$3:$AF$3,0))+INDEX('Acrescimo Tangente'!$B$164:$W$189,MATCH($A215,$A$10:$A$37,0),MATCH(K$200,$C$9:$X$9,0)))</f>
        <v>4.0999999999999996</v>
      </c>
      <c r="L215" s="17">
        <v>0</v>
      </c>
      <c r="M215" s="17">
        <v>0</v>
      </c>
      <c r="N215" s="19">
        <f>2*(-1*INDEX('Desconto Processos'!$AD$5:$AF$32,MATCH(180-$A215,'Desconto Processos'!$A$5:$A$32,0),MATCH(N$200,'Desconto Processos'!$AD$3:$AF$3,0))+INDEX('Acrescimo Tangente'!$B$164:$W$189,MATCH($A215,$A$10:$A$37,0),MATCH(N$200,$C$9:$X$9,0)))</f>
        <v>4.2</v>
      </c>
      <c r="O215" s="17">
        <v>0</v>
      </c>
      <c r="P215" s="17">
        <v>0</v>
      </c>
      <c r="Q215" s="17">
        <v>0</v>
      </c>
      <c r="R215" s="19">
        <f>2*(-1*INDEX('Desconto Processos'!$AD$5:$AF$32,MATCH(180-$A215,'Desconto Processos'!$A$5:$A$32,0),MATCH(R$200,'Desconto Processos'!$AD$3:$AF$3,0))+INDEX('Acrescimo Tangente'!$B$164:$W$189,MATCH($A215,$A$10:$A$37,0),MATCH(R$200,$C$9:$X$9,0)))</f>
        <v>5.2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28"/>
      <c r="Z215" s="25"/>
    </row>
    <row r="216" spans="1:26" ht="15.75" x14ac:dyDescent="0.25">
      <c r="A216" s="20">
        <v>90</v>
      </c>
      <c r="B216" s="21">
        <v>0.8</v>
      </c>
      <c r="C216" s="21">
        <v>0</v>
      </c>
      <c r="D216" s="21">
        <v>0</v>
      </c>
      <c r="E216" s="21">
        <v>0</v>
      </c>
      <c r="F216" s="21"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f>2*(-1*INDEX('Desconto Processos'!$AD$5:$AF$32,MATCH(180-$A216,'Desconto Processos'!$A$5:$A$32,0),MATCH(K$200,'Desconto Processos'!$AD$3:$AF$3,0))+INDEX('Acrescimo Tangente'!$B$164:$W$189,MATCH($A216,$A$10:$A$37,0),MATCH(K$200,$C$9:$X$9,0)))</f>
        <v>4.8</v>
      </c>
      <c r="L216" s="21">
        <v>0</v>
      </c>
      <c r="M216" s="21">
        <v>0</v>
      </c>
      <c r="N216" s="21">
        <f>2*(-1*INDEX('Desconto Processos'!$AD$5:$AF$32,MATCH(180-$A216,'Desconto Processos'!$A$5:$A$32,0),MATCH(N$200,'Desconto Processos'!$AD$3:$AF$3,0))+INDEX('Acrescimo Tangente'!$B$164:$W$189,MATCH($A216,$A$10:$A$37,0),MATCH(N$200,$C$9:$X$9,0)))</f>
        <v>5.5</v>
      </c>
      <c r="O216" s="21">
        <v>0</v>
      </c>
      <c r="P216" s="21">
        <v>0</v>
      </c>
      <c r="Q216" s="21">
        <v>0</v>
      </c>
      <c r="R216" s="21">
        <f>2*(-1*INDEX('Desconto Processos'!$AD$5:$AF$32,MATCH(180-$A216,'Desconto Processos'!$A$5:$A$32,0),MATCH(R$200,'Desconto Processos'!$AD$3:$AF$3,0))+INDEX('Acrescimo Tangente'!$B$164:$W$189,MATCH($A216,$A$10:$A$37,0),MATCH(R$200,$C$9:$X$9,0)))</f>
        <v>5.8</v>
      </c>
      <c r="S216" s="21">
        <v>0</v>
      </c>
      <c r="T216" s="21">
        <v>0</v>
      </c>
      <c r="U216" s="21">
        <v>0</v>
      </c>
      <c r="V216" s="21">
        <v>0</v>
      </c>
      <c r="W216" s="21">
        <v>0</v>
      </c>
      <c r="X216" s="21">
        <v>0</v>
      </c>
      <c r="Y216" s="28"/>
      <c r="Z216" s="25"/>
    </row>
    <row r="217" spans="1:26" ht="15.75" x14ac:dyDescent="0.25">
      <c r="A217" s="11">
        <v>95</v>
      </c>
      <c r="B217" s="19">
        <v>0.8</v>
      </c>
      <c r="C217" s="17">
        <v>0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9">
        <f>2*(-1*INDEX('Desconto Processos'!$AD$5:$AF$32,MATCH(180-$A217,'Desconto Processos'!$A$5:$A$32,0),MATCH(K$200,'Desconto Processos'!$AD$3:$AF$3,0))+INDEX('Acrescimo Tangente'!$B$164:$W$189,MATCH($A217,$A$10:$A$37,0),MATCH(K$200,$C$9:$X$9,0)))</f>
        <v>5.413085010692714</v>
      </c>
      <c r="L217" s="17">
        <v>0</v>
      </c>
      <c r="M217" s="17">
        <v>0</v>
      </c>
      <c r="N217" s="19">
        <f>2*(-1*INDEX('Desconto Processos'!$AD$5:$AF$32,MATCH(180-$A217,'Desconto Processos'!$A$5:$A$32,0),MATCH(N$200,'Desconto Processos'!$AD$3:$AF$3,0))+INDEX('Acrescimo Tangente'!$B$164:$W$189,MATCH($A217,$A$10:$A$37,0),MATCH(N$200,$C$9:$X$9,0)))</f>
        <v>5.6226552119758395</v>
      </c>
      <c r="O217" s="17">
        <v>0</v>
      </c>
      <c r="P217" s="17">
        <v>0</v>
      </c>
      <c r="Q217" s="17">
        <v>0</v>
      </c>
      <c r="R217" s="19">
        <f>2*(-1*INDEX('Desconto Processos'!$AD$5:$AF$32,MATCH(180-$A217,'Desconto Processos'!$A$5:$A$32,0),MATCH(R$200,'Desconto Processos'!$AD$3:$AF$3,0))+INDEX('Acrescimo Tangente'!$B$164:$W$189,MATCH($A217,$A$10:$A$37,0),MATCH(R$200,$C$9:$X$9,0)))</f>
        <v>6.6504871134728196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28"/>
      <c r="Z217" s="25"/>
    </row>
    <row r="218" spans="1:26" ht="15.75" x14ac:dyDescent="0.25">
      <c r="A218" s="11">
        <v>100</v>
      </c>
      <c r="B218" s="19">
        <v>0.8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9">
        <f>2*(-1*INDEX('Desconto Processos'!$AD$5:$AF$32,MATCH(180-$A218,'Desconto Processos'!$A$5:$A$32,0),MATCH(K$200,'Desconto Processos'!$AD$3:$AF$3,0))+INDEX('Acrescimo Tangente'!$B$164:$W$189,MATCH($A218,$A$10:$A$37,0),MATCH(K$200,$C$9:$X$9,0)))</f>
        <v>6.2175359259421006</v>
      </c>
      <c r="L218" s="17">
        <v>0</v>
      </c>
      <c r="M218" s="17">
        <v>0</v>
      </c>
      <c r="N218" s="19">
        <f>2*(-1*INDEX('Desconto Processos'!$AD$5:$AF$32,MATCH(180-$A218,'Desconto Processos'!$A$5:$A$32,0),MATCH(N$200,'Desconto Processos'!$AD$3:$AF$3,0))+INDEX('Acrescimo Tangente'!$B$164:$W$189,MATCH($A218,$A$10:$A$37,0),MATCH(N$200,$C$9:$X$9,0)))</f>
        <v>6.4476402370551522</v>
      </c>
      <c r="O218" s="17">
        <v>0</v>
      </c>
      <c r="P218" s="17">
        <v>0</v>
      </c>
      <c r="Q218" s="17">
        <v>0</v>
      </c>
      <c r="R218" s="19">
        <f>2*(-1*INDEX('Desconto Processos'!$AD$5:$AF$32,MATCH(180-$A218,'Desconto Processos'!$A$5:$A$32,0),MATCH(R$200,'Desconto Processos'!$AD$3:$AF$3,0))+INDEX('Acrescimo Tangente'!$B$164:$W$189,MATCH($A218,$A$10:$A$37,0),MATCH(R$200,$C$9:$X$9,0)))</f>
        <v>7.0160952666870466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28"/>
      <c r="Z218" s="25"/>
    </row>
    <row r="219" spans="1:26" ht="15.75" x14ac:dyDescent="0.25">
      <c r="A219" s="11">
        <v>105</v>
      </c>
      <c r="B219" s="19">
        <v>0.8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9">
        <f>2*(-1*INDEX('Desconto Processos'!$AD$5:$AF$32,MATCH(180-$A219,'Desconto Processos'!$A$5:$A$32,0),MATCH(K$200,'Desconto Processos'!$AD$3:$AF$3,0))+INDEX('Acrescimo Tangente'!$B$164:$W$189,MATCH($A219,$A$10:$A$37,0),MATCH(K$200,$C$9:$X$9,0)))</f>
        <v>7.0322537284120568</v>
      </c>
      <c r="L219" s="17">
        <v>0</v>
      </c>
      <c r="M219" s="17">
        <v>0</v>
      </c>
      <c r="N219" s="19">
        <f>2*(-1*INDEX('Desconto Processos'!$AD$5:$AF$32,MATCH(180-$A219,'Desconto Processos'!$A$5:$A$32,0),MATCH(N$200,'Desconto Processos'!$AD$3:$AF$3,0))+INDEX('Acrescimo Tangente'!$B$164:$W$189,MATCH($A219,$A$10:$A$37,0),MATCH(N$200,$C$9:$X$9,0)))</f>
        <v>7.1961241758215042</v>
      </c>
      <c r="O219" s="17">
        <v>0</v>
      </c>
      <c r="P219" s="17">
        <v>0</v>
      </c>
      <c r="Q219" s="17">
        <v>0</v>
      </c>
      <c r="R219" s="19">
        <f>2*(-1*INDEX('Desconto Processos'!$AD$5:$AF$32,MATCH(180-$A219,'Desconto Processos'!$A$5:$A$32,0),MATCH(R$200,'Desconto Processos'!$AD$3:$AF$3,0))+INDEX('Acrescimo Tangente'!$B$164:$W$189,MATCH($A219,$A$10:$A$37,0),MATCH(R$200,$C$9:$X$9,0)))</f>
        <v>7.7206396977991911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28"/>
      <c r="Z219" s="25"/>
    </row>
    <row r="220" spans="1:26" ht="15.75" x14ac:dyDescent="0.25">
      <c r="A220" s="11">
        <v>110</v>
      </c>
      <c r="B220" s="19">
        <v>0.8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9">
        <f>2*(-1*INDEX('Desconto Processos'!$AD$5:$AF$32,MATCH(180-$A220,'Desconto Processos'!$A$5:$A$32,0),MATCH(K$200,'Desconto Processos'!$AD$3:$AF$3,0))+INDEX('Acrescimo Tangente'!$B$164:$W$189,MATCH($A220,$A$10:$A$37,0),MATCH(K$200,$C$9:$X$9,0)))</f>
        <v>7.9814800674211464</v>
      </c>
      <c r="L220" s="17">
        <v>0</v>
      </c>
      <c r="M220" s="17">
        <v>0</v>
      </c>
      <c r="N220" s="19">
        <f>2*(-1*INDEX('Desconto Processos'!$AD$5:$AF$32,MATCH(180-$A220,'Desconto Processos'!$A$5:$A$32,0),MATCH(N$200,'Desconto Processos'!$AD$3:$AF$3,0))+INDEX('Acrescimo Tangente'!$B$164:$W$189,MATCH($A220,$A$10:$A$37,0),MATCH(N$200,$C$9:$X$9,0)))</f>
        <v>8.2952576755116851</v>
      </c>
      <c r="O220" s="17">
        <v>0</v>
      </c>
      <c r="P220" s="17">
        <v>0</v>
      </c>
      <c r="Q220" s="17">
        <v>0</v>
      </c>
      <c r="R220" s="19">
        <f>2*(-1*INDEX('Desconto Processos'!$AD$5:$AF$32,MATCH(180-$A220,'Desconto Processos'!$A$5:$A$32,0),MATCH(R$200,'Desconto Processos'!$AD$3:$AF$3,0))+INDEX('Acrescimo Tangente'!$B$164:$W$189,MATCH($A220,$A$10:$A$37,0),MATCH(R$200,$C$9:$X$9,0)))</f>
        <v>8.9946648849506445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28"/>
      <c r="Z220" s="25"/>
    </row>
    <row r="221" spans="1:26" ht="15.75" x14ac:dyDescent="0.25">
      <c r="A221" s="11">
        <v>115</v>
      </c>
      <c r="B221" s="19">
        <v>0.8</v>
      </c>
      <c r="C221" s="17">
        <v>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9">
        <f>2*(-1*INDEX('Desconto Processos'!$AD$5:$AF$32,MATCH(180-$A221,'Desconto Processos'!$A$5:$A$32,0),MATCH(K$200,'Desconto Processos'!$AD$3:$AF$3,0))+INDEX('Acrescimo Tangente'!$B$164:$W$189,MATCH($A221,$A$10:$A$37,0),MATCH(K$200,$C$9:$X$9,0)))</f>
        <v>9.1968557711749028</v>
      </c>
      <c r="L221" s="17">
        <v>0</v>
      </c>
      <c r="M221" s="17">
        <v>0</v>
      </c>
      <c r="N221" s="19">
        <f>2*(-1*INDEX('Desconto Processos'!$AD$5:$AF$32,MATCH(180-$A221,'Desconto Processos'!$A$5:$A$32,0),MATCH(N$200,'Desconto Processos'!$AD$3:$AF$3,0))+INDEX('Acrescimo Tangente'!$B$164:$W$189,MATCH($A221,$A$10:$A$37,0),MATCH(N$200,$C$9:$X$9,0)))</f>
        <v>9.5804784637158917</v>
      </c>
      <c r="O221" s="17">
        <v>0</v>
      </c>
      <c r="P221" s="17">
        <v>0</v>
      </c>
      <c r="Q221" s="17">
        <v>0</v>
      </c>
      <c r="R221" s="19">
        <f>2*(-1*INDEX('Desconto Processos'!$AD$5:$AF$32,MATCH(180-$A221,'Desconto Processos'!$A$5:$A$32,0),MATCH(R$200,'Desconto Processos'!$AD$3:$AF$3,0))+INDEX('Acrescimo Tangente'!$B$164:$W$189,MATCH($A221,$A$10:$A$37,0),MATCH(R$200,$C$9:$X$9,0)))</f>
        <v>10.378038271680378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28"/>
      <c r="Z221" s="25"/>
    </row>
    <row r="222" spans="1:26" ht="15.75" x14ac:dyDescent="0.25">
      <c r="A222" s="11">
        <v>120</v>
      </c>
      <c r="B222" s="19">
        <v>0.8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9">
        <f>2*(-1*INDEX('Desconto Processos'!$AD$5:$AF$32,MATCH(180-$A222,'Desconto Processos'!$A$5:$A$32,0),MATCH(K$200,'Desconto Processos'!$AD$3:$AF$3,0))+INDEX('Acrescimo Tangente'!$B$164:$W$189,MATCH($A222,$A$10:$A$37,0),MATCH(K$200,$C$9:$X$9,0)))</f>
        <v>10.520508075688774</v>
      </c>
      <c r="L222" s="17">
        <v>0</v>
      </c>
      <c r="M222" s="17">
        <v>0</v>
      </c>
      <c r="N222" s="19">
        <f>2*(-1*INDEX('Desconto Processos'!$AD$5:$AF$32,MATCH(180-$A222,'Desconto Processos'!$A$5:$A$32,0),MATCH(N$200,'Desconto Processos'!$AD$3:$AF$3,0))+INDEX('Acrescimo Tangente'!$B$164:$W$189,MATCH($A222,$A$10:$A$37,0),MATCH(N$200,$C$9:$X$9,0)))</f>
        <v>11.198969044771426</v>
      </c>
      <c r="O222" s="17">
        <v>0</v>
      </c>
      <c r="P222" s="17">
        <v>0</v>
      </c>
      <c r="Q222" s="17">
        <v>0</v>
      </c>
      <c r="R222" s="19">
        <f>2*(-1*INDEX('Desconto Processos'!$AD$5:$AF$32,MATCH(180-$A222,'Desconto Processos'!$A$5:$A$32,0),MATCH(R$200,'Desconto Processos'!$AD$3:$AF$3,0))+INDEX('Acrescimo Tangente'!$B$164:$W$189,MATCH($A222,$A$10:$A$37,0),MATCH(R$200,$C$9:$X$9,0)))</f>
        <v>12.023840175367855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28"/>
      <c r="Z222" s="25"/>
    </row>
    <row r="223" spans="1:26" ht="15.75" x14ac:dyDescent="0.25">
      <c r="A223" s="11">
        <v>125</v>
      </c>
      <c r="B223" s="19">
        <v>0.8</v>
      </c>
      <c r="C223" s="17">
        <v>0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9">
        <f>2*(-1*INDEX('Desconto Processos'!$AD$5:$AF$32,MATCH(180-$A223,'Desconto Processos'!$A$5:$A$32,0),MATCH(K$200,'Desconto Processos'!$AD$3:$AF$3,0))+INDEX('Acrescimo Tangente'!$B$164:$W$189,MATCH($A223,$A$10:$A$37,0),MATCH(K$200,$C$9:$X$9,0)))</f>
        <v>12.109821269711661</v>
      </c>
      <c r="L223" s="17">
        <v>0</v>
      </c>
      <c r="M223" s="17">
        <v>0</v>
      </c>
      <c r="N223" s="19">
        <f>2*(-1*INDEX('Desconto Processos'!$AD$5:$AF$32,MATCH(180-$A223,'Desconto Processos'!$A$5:$A$32,0),MATCH(N$200,'Desconto Processos'!$AD$3:$AF$3,0))+INDEX('Acrescimo Tangente'!$B$164:$W$189,MATCH($A223,$A$10:$A$37,0),MATCH(N$200,$C$9:$X$9,0)))</f>
        <v>12.914999822077059</v>
      </c>
      <c r="O223" s="17">
        <v>0</v>
      </c>
      <c r="P223" s="17">
        <v>0</v>
      </c>
      <c r="Q223" s="17">
        <v>0</v>
      </c>
      <c r="R223" s="19">
        <f>2*(-1*INDEX('Desconto Processos'!$AD$5:$AF$32,MATCH(180-$A223,'Desconto Processos'!$A$5:$A$32,0),MATCH(R$200,'Desconto Processos'!$AD$3:$AF$3,0))+INDEX('Acrescimo Tangente'!$B$164:$W$189,MATCH($A223,$A$10:$A$37,0),MATCH(R$200,$C$9:$X$9,0)))</f>
        <v>14.004374799836691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28"/>
      <c r="Z223" s="25"/>
    </row>
    <row r="224" spans="1:26" ht="15.75" x14ac:dyDescent="0.25">
      <c r="A224" s="11">
        <v>130</v>
      </c>
      <c r="B224" s="19">
        <v>0.8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9">
        <f>2*(-1*INDEX('Desconto Processos'!$AD$5:$AF$32,MATCH(180-$A224,'Desconto Processos'!$A$5:$A$32,0),MATCH(K$200,'Desconto Processos'!$AD$3:$AF$3,0))+INDEX('Acrescimo Tangente'!$B$164:$W$189,MATCH($A224,$A$10:$A$37,0),MATCH(K$200,$C$9:$X$9,0)))</f>
        <v>14.045069205095588</v>
      </c>
      <c r="L224" s="17">
        <v>0</v>
      </c>
      <c r="M224" s="17">
        <v>0</v>
      </c>
      <c r="N224" s="19">
        <f>2*(-1*INDEX('Desconto Processos'!$AD$5:$AF$32,MATCH(180-$A224,'Desconto Processos'!$A$5:$A$32,0),MATCH(N$200,'Desconto Processos'!$AD$3:$AF$3,0))+INDEX('Acrescimo Tangente'!$B$164:$W$189,MATCH($A224,$A$10:$A$37,0),MATCH(N$200,$C$9:$X$9,0)))</f>
        <v>15.018477509707058</v>
      </c>
      <c r="O224" s="17">
        <v>0</v>
      </c>
      <c r="P224" s="17">
        <v>0</v>
      </c>
      <c r="Q224" s="17">
        <v>0</v>
      </c>
      <c r="R224" s="19">
        <f>2*(-1*INDEX('Desconto Processos'!$AD$5:$AF$32,MATCH(180-$A224,'Desconto Processos'!$A$5:$A$32,0),MATCH(R$200,'Desconto Processos'!$AD$3:$AF$3,0))+INDEX('Acrescimo Tangente'!$B$164:$W$189,MATCH($A224,$A$10:$A$37,0),MATCH(R$200,$C$9:$X$9,0)))</f>
        <v>16.420787198420442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28"/>
      <c r="Z224" s="25"/>
    </row>
    <row r="225" spans="1:26" ht="15.75" x14ac:dyDescent="0.25">
      <c r="A225" s="11">
        <v>135</v>
      </c>
      <c r="B225" s="19">
        <v>0.8</v>
      </c>
      <c r="C225" s="17">
        <v>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9">
        <f>2*(-1*INDEX('Desconto Processos'!$AD$5:$AF$32,MATCH(180-$A225,'Desconto Processos'!$A$5:$A$32,0),MATCH(K$200,'Desconto Processos'!$AD$3:$AF$3,0))+INDEX('Acrescimo Tangente'!$B$164:$W$189,MATCH($A225,$A$10:$A$37,0),MATCH(K$200,$C$9:$X$9,0)))</f>
        <v>15.84213562373095</v>
      </c>
      <c r="L225" s="17">
        <v>0</v>
      </c>
      <c r="M225" s="17">
        <v>0</v>
      </c>
      <c r="N225" s="19">
        <f>2*(-1*INDEX('Desconto Processos'!$AD$5:$AF$32,MATCH(180-$A225,'Desconto Processos'!$A$5:$A$32,0),MATCH(N$200,'Desconto Processos'!$AD$3:$AF$3,0))+INDEX('Acrescimo Tangente'!$B$164:$W$189,MATCH($A225,$A$10:$A$37,0),MATCH(N$200,$C$9:$X$9,0)))</f>
        <v>17.539191898578665</v>
      </c>
      <c r="O225" s="17">
        <v>0</v>
      </c>
      <c r="P225" s="17">
        <v>0</v>
      </c>
      <c r="Q225" s="17">
        <v>0</v>
      </c>
      <c r="R225" s="19">
        <f>2*(-1*INDEX('Desconto Processos'!$AD$5:$AF$32,MATCH(180-$A225,'Desconto Processos'!$A$5:$A$32,0),MATCH(R$200,'Desconto Processos'!$AD$3:$AF$3,0))+INDEX('Acrescimo Tangente'!$B$164:$W$189,MATCH($A225,$A$10:$A$37,0),MATCH(R$200,$C$9:$X$9,0)))</f>
        <v>19.419090885900999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28"/>
      <c r="Z225" s="25"/>
    </row>
    <row r="226" spans="1:26" ht="15.75" x14ac:dyDescent="0.25">
      <c r="A226" s="11">
        <v>140</v>
      </c>
      <c r="B226" s="19">
        <v>0.8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9">
        <f>2*(-1*INDEX('Desconto Processos'!$AD$5:$AF$32,MATCH(180-$A226,'Desconto Processos'!$A$5:$A$32,0),MATCH(K$200,'Desconto Processos'!$AD$3:$AF$3,0))+INDEX('Acrescimo Tangente'!$B$164:$W$189,MATCH($A226,$A$10:$A$37,0),MATCH(K$200,$C$9:$X$9,0)))</f>
        <v>18.874774194546223</v>
      </c>
      <c r="L226" s="17">
        <v>0</v>
      </c>
      <c r="M226" s="17">
        <v>0</v>
      </c>
      <c r="N226" s="19">
        <f>2*(-1*INDEX('Desconto Processos'!$AD$5:$AF$32,MATCH(180-$A226,'Desconto Processos'!$A$5:$A$32,0),MATCH(N$200,'Desconto Processos'!$AD$3:$AF$3,0))+INDEX('Acrescimo Tangente'!$B$164:$W$189,MATCH($A226,$A$10:$A$37,0),MATCH(N$200,$C$9:$X$9,0)))</f>
        <v>20.971747097891768</v>
      </c>
      <c r="O226" s="17">
        <v>0</v>
      </c>
      <c r="P226" s="17">
        <v>0</v>
      </c>
      <c r="Q226" s="17">
        <v>0</v>
      </c>
      <c r="R226" s="19">
        <f>2*(-1*INDEX('Desconto Processos'!$AD$5:$AF$32,MATCH(180-$A226,'Desconto Processos'!$A$5:$A$32,0),MATCH(R$200,'Desconto Processos'!$AD$3:$AF$3,0))+INDEX('Acrescimo Tangente'!$B$164:$W$189,MATCH($A226,$A$10:$A$37,0),MATCH(R$200,$C$9:$X$9,0)))</f>
        <v>23.318215485128242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28"/>
      <c r="Z226" s="25"/>
    </row>
    <row r="227" spans="1:26" ht="15.75" x14ac:dyDescent="0.25">
      <c r="A227" s="11">
        <v>145</v>
      </c>
      <c r="B227" s="19">
        <v>0.8</v>
      </c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28"/>
      <c r="Z227" s="25"/>
    </row>
    <row r="228" spans="1:26" ht="15.75" x14ac:dyDescent="0.25">
      <c r="A228" s="11">
        <v>150</v>
      </c>
      <c r="B228" s="19">
        <v>0.8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28"/>
      <c r="Z228" s="25"/>
    </row>
  </sheetData>
  <customSheetViews>
    <customSheetView guid="{E6B1C790-EACE-4B54-A324-C088792CB3D1}" showPageBreaks="1" showRuler="0">
      <pageMargins left="0.78740157499999996" right="0.78740157499999996" top="0.984251969" bottom="0.984251969" header="0.5" footer="0.5"/>
      <pageSetup paperSize="9" orientation="landscape" horizontalDpi="4294967294" verticalDpi="0" r:id="rId1"/>
      <headerFooter alignWithMargins="0"/>
    </customSheetView>
  </customSheetViews>
  <mergeCells count="14">
    <mergeCell ref="A199:A200"/>
    <mergeCell ref="A135:A136"/>
    <mergeCell ref="A167:A168"/>
    <mergeCell ref="B135:X135"/>
    <mergeCell ref="B167:X167"/>
    <mergeCell ref="B199:X199"/>
    <mergeCell ref="A40:A41"/>
    <mergeCell ref="A8:A9"/>
    <mergeCell ref="A103:A104"/>
    <mergeCell ref="B8:X8"/>
    <mergeCell ref="B40:X40"/>
    <mergeCell ref="B103:X103"/>
    <mergeCell ref="A72:A73"/>
    <mergeCell ref="B72:X72"/>
  </mergeCells>
  <phoneticPr fontId="0" type="noConversion"/>
  <pageMargins left="0.78740157499999996" right="0.78740157499999996" top="0.984251969" bottom="0.984251969" header="0.5" footer="0.5"/>
  <pageSetup paperSize="9" orientation="landscape" horizontalDpi="4294967294" verticalDpi="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2"/>
  <sheetViews>
    <sheetView zoomScaleNormal="100" workbookViewId="0">
      <selection activeCell="B1" sqref="B1:H1"/>
    </sheetView>
  </sheetViews>
  <sheetFormatPr defaultRowHeight="12.75" x14ac:dyDescent="0.2"/>
  <cols>
    <col min="1" max="1" width="15.85546875" customWidth="1"/>
    <col min="2" max="32" width="6.7109375" customWidth="1"/>
  </cols>
  <sheetData>
    <row r="1" spans="1:32" ht="13.5" thickBot="1" x14ac:dyDescent="0.25">
      <c r="A1" s="30" t="s">
        <v>10</v>
      </c>
      <c r="B1" s="122" t="s">
        <v>11</v>
      </c>
      <c r="C1" s="122"/>
      <c r="D1" s="122"/>
      <c r="E1" s="122"/>
      <c r="F1" s="122"/>
      <c r="G1" s="122"/>
      <c r="H1" s="123"/>
      <c r="I1" s="124" t="s">
        <v>12</v>
      </c>
      <c r="J1" s="122"/>
      <c r="K1" s="122"/>
      <c r="L1" s="122"/>
      <c r="M1" s="123"/>
      <c r="N1" s="119" t="s">
        <v>13</v>
      </c>
      <c r="O1" s="120"/>
      <c r="P1" s="120"/>
      <c r="Q1" s="120"/>
      <c r="R1" s="120"/>
      <c r="S1" s="121"/>
      <c r="T1" s="119" t="s">
        <v>14</v>
      </c>
      <c r="U1" s="120"/>
      <c r="V1" s="120"/>
      <c r="W1" s="120"/>
      <c r="X1" s="120"/>
      <c r="Y1" s="121"/>
      <c r="Z1" s="119" t="s">
        <v>15</v>
      </c>
      <c r="AA1" s="120"/>
      <c r="AB1" s="120"/>
      <c r="AC1" s="121"/>
      <c r="AD1" s="119" t="s">
        <v>16</v>
      </c>
      <c r="AE1" s="120"/>
      <c r="AF1" s="121"/>
    </row>
    <row r="2" spans="1:32" x14ac:dyDescent="0.2">
      <c r="A2" s="31" t="s">
        <v>17</v>
      </c>
      <c r="B2" s="32">
        <v>6</v>
      </c>
      <c r="C2" s="33">
        <v>8</v>
      </c>
      <c r="D2" s="32">
        <v>10</v>
      </c>
      <c r="E2" s="34">
        <v>12</v>
      </c>
      <c r="F2" s="34">
        <v>16</v>
      </c>
      <c r="G2" s="34">
        <v>20</v>
      </c>
      <c r="H2" s="38">
        <v>24</v>
      </c>
      <c r="I2" s="102">
        <v>6</v>
      </c>
      <c r="J2" s="102">
        <v>8</v>
      </c>
      <c r="K2" s="103">
        <v>10</v>
      </c>
      <c r="L2" s="102">
        <v>12</v>
      </c>
      <c r="M2" s="102">
        <v>16</v>
      </c>
      <c r="N2" s="35">
        <v>8</v>
      </c>
      <c r="O2" s="36">
        <v>10</v>
      </c>
      <c r="P2" s="37">
        <v>12</v>
      </c>
      <c r="Q2" s="35">
        <v>16</v>
      </c>
      <c r="R2" s="35">
        <v>20</v>
      </c>
      <c r="S2" s="38">
        <v>24</v>
      </c>
      <c r="T2" s="39">
        <v>8</v>
      </c>
      <c r="U2" s="35">
        <v>10</v>
      </c>
      <c r="V2" s="37">
        <v>12</v>
      </c>
      <c r="W2" s="35">
        <v>16</v>
      </c>
      <c r="X2" s="35">
        <v>20</v>
      </c>
      <c r="Y2" s="38">
        <v>24</v>
      </c>
      <c r="Z2" s="39">
        <v>12</v>
      </c>
      <c r="AA2" s="35">
        <v>16</v>
      </c>
      <c r="AB2" s="37">
        <v>20</v>
      </c>
      <c r="AC2" s="38">
        <v>24</v>
      </c>
      <c r="AD2" s="39">
        <v>16</v>
      </c>
      <c r="AE2" s="37">
        <v>20</v>
      </c>
      <c r="AF2" s="38">
        <v>24</v>
      </c>
    </row>
    <row r="3" spans="1:32" ht="13.5" thickBot="1" x14ac:dyDescent="0.25">
      <c r="A3" s="40" t="s">
        <v>18</v>
      </c>
      <c r="B3" s="104">
        <v>1.1000000000000001</v>
      </c>
      <c r="C3" s="105">
        <v>1.4</v>
      </c>
      <c r="D3" s="104">
        <v>1.9</v>
      </c>
      <c r="E3" s="106">
        <v>2.5</v>
      </c>
      <c r="F3" s="106">
        <v>3.7</v>
      </c>
      <c r="G3" s="106">
        <v>4.5</v>
      </c>
      <c r="H3" s="107">
        <v>5.5</v>
      </c>
      <c r="I3" s="108">
        <v>1</v>
      </c>
      <c r="J3" s="108">
        <v>1.3</v>
      </c>
      <c r="K3" s="109">
        <v>1.6</v>
      </c>
      <c r="L3" s="108">
        <v>2</v>
      </c>
      <c r="M3" s="108">
        <v>2.6</v>
      </c>
      <c r="N3" s="106">
        <v>1.4</v>
      </c>
      <c r="O3" s="104">
        <v>1.6</v>
      </c>
      <c r="P3" s="105">
        <v>1.9</v>
      </c>
      <c r="Q3" s="106">
        <v>3</v>
      </c>
      <c r="R3" s="106">
        <v>3.9</v>
      </c>
      <c r="S3" s="107">
        <v>4.3</v>
      </c>
      <c r="T3" s="110">
        <v>1.2</v>
      </c>
      <c r="U3" s="106">
        <v>1.3</v>
      </c>
      <c r="V3" s="105">
        <v>1.7</v>
      </c>
      <c r="W3" s="106">
        <v>1.9</v>
      </c>
      <c r="X3" s="106">
        <v>2.6</v>
      </c>
      <c r="Y3" s="107">
        <v>3.4</v>
      </c>
      <c r="Z3" s="110">
        <v>1.9</v>
      </c>
      <c r="AA3" s="106">
        <v>2.2999999999999998</v>
      </c>
      <c r="AB3" s="105">
        <v>2.7</v>
      </c>
      <c r="AC3" s="107">
        <v>3.2</v>
      </c>
      <c r="AD3" s="110">
        <v>2</v>
      </c>
      <c r="AE3" s="105">
        <v>2.6</v>
      </c>
      <c r="AF3" s="107">
        <v>3.3</v>
      </c>
    </row>
    <row r="4" spans="1:32" ht="13.5" thickBot="1" x14ac:dyDescent="0.25">
      <c r="A4" s="31" t="s">
        <v>19</v>
      </c>
      <c r="B4" s="112" t="s">
        <v>20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</row>
    <row r="5" spans="1:32" x14ac:dyDescent="0.2">
      <c r="A5" s="41">
        <v>30</v>
      </c>
      <c r="B5" s="45">
        <v>-0.25</v>
      </c>
      <c r="C5" s="46">
        <v>-0.1</v>
      </c>
      <c r="D5" s="47">
        <v>-0.1</v>
      </c>
      <c r="E5" s="47">
        <v>-0.1</v>
      </c>
      <c r="F5" s="47">
        <v>-0.1</v>
      </c>
      <c r="G5" s="47">
        <v>-0.35</v>
      </c>
      <c r="H5" s="48">
        <v>-0.3</v>
      </c>
      <c r="I5" s="45">
        <v>-0.4</v>
      </c>
      <c r="J5" s="47">
        <v>-0.3</v>
      </c>
      <c r="K5" s="49">
        <v>-0.15</v>
      </c>
      <c r="L5" s="47">
        <v>-0.1</v>
      </c>
      <c r="M5" s="50">
        <v>-0.25</v>
      </c>
      <c r="N5" s="51">
        <v>-0.45</v>
      </c>
      <c r="O5" s="47">
        <v>-0.35</v>
      </c>
      <c r="P5" s="46">
        <v>-0.25</v>
      </c>
      <c r="Q5" s="47">
        <v>-0.2</v>
      </c>
      <c r="R5" s="47">
        <v>-0.35</v>
      </c>
      <c r="S5" s="48">
        <v>-0.4</v>
      </c>
      <c r="T5" s="45">
        <v>-0.7</v>
      </c>
      <c r="U5" s="47">
        <v>-0.75</v>
      </c>
      <c r="V5" s="46">
        <v>-0.65</v>
      </c>
      <c r="W5" s="47">
        <v>-0.6</v>
      </c>
      <c r="X5" s="47">
        <v>-0.35</v>
      </c>
      <c r="Y5" s="50">
        <v>-0.4</v>
      </c>
      <c r="Z5" s="45">
        <v>-0.9</v>
      </c>
      <c r="AA5" s="47">
        <v>-0.75</v>
      </c>
      <c r="AB5" s="46">
        <v>-0.6</v>
      </c>
      <c r="AC5" s="50">
        <v>-0.4</v>
      </c>
      <c r="AD5" s="52"/>
      <c r="AE5" s="53"/>
      <c r="AF5" s="54"/>
    </row>
    <row r="6" spans="1:32" x14ac:dyDescent="0.2">
      <c r="A6" s="42">
        <v>35</v>
      </c>
      <c r="B6" s="55">
        <v>-0.3</v>
      </c>
      <c r="C6" s="56">
        <v>-0.15</v>
      </c>
      <c r="D6" s="57">
        <v>-0.1</v>
      </c>
      <c r="E6" s="57">
        <v>-0.1</v>
      </c>
      <c r="F6" s="57">
        <v>-0.2</v>
      </c>
      <c r="G6" s="57">
        <v>-0.35</v>
      </c>
      <c r="H6" s="58">
        <v>-0.3</v>
      </c>
      <c r="I6" s="59"/>
      <c r="J6" s="60"/>
      <c r="K6" s="61"/>
      <c r="L6" s="60"/>
      <c r="M6" s="62"/>
      <c r="N6" s="63">
        <v>-0.5</v>
      </c>
      <c r="O6" s="57">
        <v>-0.45</v>
      </c>
      <c r="P6" s="56">
        <v>-0.35</v>
      </c>
      <c r="Q6" s="57">
        <v>-0.2</v>
      </c>
      <c r="R6" s="57">
        <v>-0.4</v>
      </c>
      <c r="S6" s="64">
        <v>-0.4</v>
      </c>
      <c r="T6" s="59">
        <v>-0.8</v>
      </c>
      <c r="U6" s="57">
        <v>-0.85</v>
      </c>
      <c r="V6" s="56">
        <v>-0.75</v>
      </c>
      <c r="W6" s="57">
        <v>-0.7</v>
      </c>
      <c r="X6" s="57">
        <v>-0.45</v>
      </c>
      <c r="Y6" s="65">
        <v>-0.5</v>
      </c>
      <c r="Z6" s="55">
        <v>-1</v>
      </c>
      <c r="AA6" s="57">
        <v>-0.9</v>
      </c>
      <c r="AB6" s="56">
        <v>-0.75</v>
      </c>
      <c r="AC6" s="65">
        <v>-0.55000000000000004</v>
      </c>
      <c r="AD6" s="66"/>
      <c r="AE6" s="67"/>
      <c r="AF6" s="68"/>
    </row>
    <row r="7" spans="1:32" x14ac:dyDescent="0.2">
      <c r="A7" s="41">
        <v>40</v>
      </c>
      <c r="B7" s="69">
        <v>-0.35</v>
      </c>
      <c r="C7" s="56">
        <v>-0.25</v>
      </c>
      <c r="D7" s="70">
        <v>-0.1</v>
      </c>
      <c r="E7" s="70">
        <v>-0.1</v>
      </c>
      <c r="F7" s="70">
        <v>-0.3</v>
      </c>
      <c r="G7" s="70">
        <v>-0.35</v>
      </c>
      <c r="H7" s="71">
        <v>-0.35</v>
      </c>
      <c r="I7" s="72"/>
      <c r="J7" s="73"/>
      <c r="K7" s="61"/>
      <c r="L7" s="73"/>
      <c r="M7" s="74"/>
      <c r="N7" s="75">
        <v>-0.6</v>
      </c>
      <c r="O7" s="70">
        <v>-0.55000000000000004</v>
      </c>
      <c r="P7" s="56">
        <v>-0.45</v>
      </c>
      <c r="Q7" s="70">
        <v>-0.25</v>
      </c>
      <c r="R7" s="70">
        <v>-0.45</v>
      </c>
      <c r="S7" s="76">
        <v>-0.45</v>
      </c>
      <c r="T7" s="72">
        <v>-0.9</v>
      </c>
      <c r="U7" s="70">
        <v>-1</v>
      </c>
      <c r="V7" s="56">
        <v>-0.85</v>
      </c>
      <c r="W7" s="70">
        <v>-0.8</v>
      </c>
      <c r="X7" s="70">
        <v>-0.6</v>
      </c>
      <c r="Y7" s="77">
        <v>-0.65</v>
      </c>
      <c r="Z7" s="69">
        <v>-1.1000000000000001</v>
      </c>
      <c r="AA7" s="70">
        <v>-1</v>
      </c>
      <c r="AB7" s="56">
        <v>-0.9</v>
      </c>
      <c r="AC7" s="77">
        <v>-0.7</v>
      </c>
      <c r="AD7" s="75">
        <v>-0.7</v>
      </c>
      <c r="AE7" s="56">
        <v>-0.7</v>
      </c>
      <c r="AF7" s="77">
        <v>-0.65</v>
      </c>
    </row>
    <row r="8" spans="1:32" x14ac:dyDescent="0.2">
      <c r="A8" s="42">
        <v>45</v>
      </c>
      <c r="B8" s="59">
        <v>-0.4</v>
      </c>
      <c r="C8" s="61">
        <v>-0.3</v>
      </c>
      <c r="D8" s="60">
        <v>-0.2</v>
      </c>
      <c r="E8" s="60">
        <v>-0.2</v>
      </c>
      <c r="F8" s="60">
        <v>-0.35</v>
      </c>
      <c r="G8" s="60">
        <v>-0.4</v>
      </c>
      <c r="H8" s="64">
        <v>-0.35</v>
      </c>
      <c r="I8" s="59">
        <v>-0.6</v>
      </c>
      <c r="J8" s="60">
        <v>-0.5</v>
      </c>
      <c r="K8" s="61">
        <v>-0.4</v>
      </c>
      <c r="L8" s="60">
        <v>-0.3</v>
      </c>
      <c r="M8" s="62">
        <v>-0.15</v>
      </c>
      <c r="N8" s="78">
        <v>-0.7</v>
      </c>
      <c r="O8" s="60">
        <v>-0.6</v>
      </c>
      <c r="P8" s="61">
        <v>-0.55000000000000004</v>
      </c>
      <c r="Q8" s="60">
        <v>-0.3</v>
      </c>
      <c r="R8" s="60">
        <v>-0.5</v>
      </c>
      <c r="S8" s="64">
        <v>-0.5</v>
      </c>
      <c r="T8" s="59">
        <v>-0.95</v>
      </c>
      <c r="U8" s="60">
        <v>-1.1000000000000001</v>
      </c>
      <c r="V8" s="61">
        <v>-0.95</v>
      </c>
      <c r="W8" s="60">
        <v>-0.9</v>
      </c>
      <c r="X8" s="60">
        <v>-0.75</v>
      </c>
      <c r="Y8" s="62">
        <v>-0.75</v>
      </c>
      <c r="Z8" s="59">
        <v>-1.25</v>
      </c>
      <c r="AA8" s="60">
        <v>-1.1499999999999999</v>
      </c>
      <c r="AB8" s="61">
        <v>-1.05</v>
      </c>
      <c r="AC8" s="62">
        <v>-0.9</v>
      </c>
      <c r="AD8" s="78">
        <v>-0.85</v>
      </c>
      <c r="AE8" s="61">
        <v>-0.85</v>
      </c>
      <c r="AF8" s="62">
        <v>-0.8</v>
      </c>
    </row>
    <row r="9" spans="1:32" x14ac:dyDescent="0.2">
      <c r="A9" s="41">
        <v>50</v>
      </c>
      <c r="B9" s="72">
        <v>-0.5</v>
      </c>
      <c r="C9" s="61">
        <v>-0.4</v>
      </c>
      <c r="D9" s="73">
        <v>-0.3</v>
      </c>
      <c r="E9" s="73">
        <v>-0.2</v>
      </c>
      <c r="F9" s="73">
        <v>-0.4</v>
      </c>
      <c r="G9" s="73">
        <v>-0.4</v>
      </c>
      <c r="H9" s="76">
        <v>-0.4</v>
      </c>
      <c r="I9" s="72"/>
      <c r="J9" s="73"/>
      <c r="K9" s="61"/>
      <c r="L9" s="73"/>
      <c r="M9" s="74"/>
      <c r="N9" s="79">
        <v>-0.75</v>
      </c>
      <c r="O9" s="73">
        <v>-0.7</v>
      </c>
      <c r="P9" s="61">
        <v>-0.65</v>
      </c>
      <c r="Q9" s="73">
        <v>-0.45</v>
      </c>
      <c r="R9" s="73">
        <v>-0.55000000000000004</v>
      </c>
      <c r="S9" s="76">
        <v>-0.5</v>
      </c>
      <c r="T9" s="72">
        <v>-1</v>
      </c>
      <c r="U9" s="73">
        <v>-1.2</v>
      </c>
      <c r="V9" s="61">
        <v>-1.05</v>
      </c>
      <c r="W9" s="73">
        <v>-1</v>
      </c>
      <c r="X9" s="73">
        <v>-0.9</v>
      </c>
      <c r="Y9" s="74">
        <v>-0.8</v>
      </c>
      <c r="Z9" s="72">
        <v>-1.4</v>
      </c>
      <c r="AA9" s="73">
        <v>-1.3</v>
      </c>
      <c r="AB9" s="61">
        <v>-1.2</v>
      </c>
      <c r="AC9" s="74">
        <v>-1.1000000000000001</v>
      </c>
      <c r="AD9" s="79">
        <v>-1.3</v>
      </c>
      <c r="AE9" s="61">
        <v>-1.1000000000000001</v>
      </c>
      <c r="AF9" s="74">
        <v>-1</v>
      </c>
    </row>
    <row r="10" spans="1:32" x14ac:dyDescent="0.2">
      <c r="A10" s="42">
        <v>55</v>
      </c>
      <c r="B10" s="59">
        <v>-0.55000000000000004</v>
      </c>
      <c r="C10" s="61">
        <v>-0.5</v>
      </c>
      <c r="D10" s="60">
        <v>-0.4</v>
      </c>
      <c r="E10" s="60">
        <v>-0.3</v>
      </c>
      <c r="F10" s="60">
        <v>-0.5</v>
      </c>
      <c r="G10" s="60">
        <v>-0.45</v>
      </c>
      <c r="H10" s="64">
        <v>-0.4</v>
      </c>
      <c r="I10" s="59"/>
      <c r="J10" s="60"/>
      <c r="K10" s="61"/>
      <c r="L10" s="60"/>
      <c r="M10" s="62"/>
      <c r="N10" s="78">
        <v>-0.85</v>
      </c>
      <c r="O10" s="60">
        <v>-0.8</v>
      </c>
      <c r="P10" s="61">
        <v>-0.75</v>
      </c>
      <c r="Q10" s="60">
        <v>-0.6</v>
      </c>
      <c r="R10" s="60">
        <v>-0.6</v>
      </c>
      <c r="S10" s="64">
        <v>-0.6</v>
      </c>
      <c r="T10" s="59">
        <v>-1.1000000000000001</v>
      </c>
      <c r="U10" s="60">
        <v>-1.3</v>
      </c>
      <c r="V10" s="61">
        <v>-1.1499999999999999</v>
      </c>
      <c r="W10" s="60">
        <v>-1.1499999999999999</v>
      </c>
      <c r="X10" s="60">
        <v>-1.05</v>
      </c>
      <c r="Y10" s="62">
        <v>-0.95</v>
      </c>
      <c r="Z10" s="59">
        <v>-1.5</v>
      </c>
      <c r="AA10" s="60">
        <v>-1.4</v>
      </c>
      <c r="AB10" s="61">
        <v>-1.35</v>
      </c>
      <c r="AC10" s="62">
        <v>-1.25</v>
      </c>
      <c r="AD10" s="78">
        <v>-1.45</v>
      </c>
      <c r="AE10" s="61">
        <v>-1.3</v>
      </c>
      <c r="AF10" s="62">
        <v>-1.2</v>
      </c>
    </row>
    <row r="11" spans="1:32" x14ac:dyDescent="0.2">
      <c r="A11" s="41">
        <v>60</v>
      </c>
      <c r="B11" s="72">
        <v>-0.6</v>
      </c>
      <c r="C11" s="61">
        <v>-0.55000000000000004</v>
      </c>
      <c r="D11" s="73">
        <v>-0.5</v>
      </c>
      <c r="E11" s="73">
        <v>-0.45</v>
      </c>
      <c r="F11" s="73">
        <v>-0.55000000000000004</v>
      </c>
      <c r="G11" s="73">
        <v>-0.45</v>
      </c>
      <c r="H11" s="76">
        <v>-0.45</v>
      </c>
      <c r="I11" s="72">
        <v>-0.75</v>
      </c>
      <c r="J11" s="73">
        <v>-0.7</v>
      </c>
      <c r="K11" s="61">
        <v>-0.7</v>
      </c>
      <c r="L11" s="73">
        <v>-0.65</v>
      </c>
      <c r="M11" s="74">
        <v>-0.55000000000000004</v>
      </c>
      <c r="N11" s="79">
        <v>-0.95</v>
      </c>
      <c r="O11" s="73">
        <v>-0.9</v>
      </c>
      <c r="P11" s="61">
        <v>-0.85</v>
      </c>
      <c r="Q11" s="73">
        <v>-0.75</v>
      </c>
      <c r="R11" s="73">
        <v>-0.65</v>
      </c>
      <c r="S11" s="76">
        <v>-0.7</v>
      </c>
      <c r="T11" s="72">
        <v>-1.2</v>
      </c>
      <c r="U11" s="73">
        <v>-1.35</v>
      </c>
      <c r="V11" s="61">
        <v>-1.3</v>
      </c>
      <c r="W11" s="73">
        <v>-1.25</v>
      </c>
      <c r="X11" s="73">
        <v>-1.1000000000000001</v>
      </c>
      <c r="Y11" s="74">
        <v>-1.1000000000000001</v>
      </c>
      <c r="Z11" s="72">
        <v>-1.6</v>
      </c>
      <c r="AA11" s="73">
        <v>-1.55</v>
      </c>
      <c r="AB11" s="61">
        <v>-1.5</v>
      </c>
      <c r="AC11" s="74">
        <v>-1.45</v>
      </c>
      <c r="AD11" s="79">
        <v>-1.6</v>
      </c>
      <c r="AE11" s="61">
        <v>-1.5</v>
      </c>
      <c r="AF11" s="74">
        <v>-1.4</v>
      </c>
    </row>
    <row r="12" spans="1:32" x14ac:dyDescent="0.2">
      <c r="A12" s="42">
        <v>65</v>
      </c>
      <c r="B12" s="59">
        <v>-0.65</v>
      </c>
      <c r="C12" s="61">
        <v>-0.6</v>
      </c>
      <c r="D12" s="60">
        <v>-0.6</v>
      </c>
      <c r="E12" s="60">
        <v>-0.55000000000000004</v>
      </c>
      <c r="F12" s="60">
        <v>-0.6</v>
      </c>
      <c r="G12" s="60">
        <v>-0.5</v>
      </c>
      <c r="H12" s="64">
        <v>-0.5</v>
      </c>
      <c r="I12" s="59"/>
      <c r="J12" s="60"/>
      <c r="K12" s="61"/>
      <c r="L12" s="60"/>
      <c r="M12" s="62"/>
      <c r="N12" s="78">
        <v>-1</v>
      </c>
      <c r="O12" s="60">
        <v>-1</v>
      </c>
      <c r="P12" s="61">
        <v>-0.95</v>
      </c>
      <c r="Q12" s="60">
        <v>-0.9</v>
      </c>
      <c r="R12" s="60">
        <v>-0.85</v>
      </c>
      <c r="S12" s="64">
        <v>-0.85</v>
      </c>
      <c r="T12" s="59">
        <v>-1.3</v>
      </c>
      <c r="U12" s="60">
        <v>-1.4</v>
      </c>
      <c r="V12" s="61">
        <v>-1.4</v>
      </c>
      <c r="W12" s="60">
        <v>-1.35</v>
      </c>
      <c r="X12" s="60">
        <v>-1.25</v>
      </c>
      <c r="Y12" s="62">
        <v>-1.35</v>
      </c>
      <c r="Z12" s="59">
        <v>-1.7</v>
      </c>
      <c r="AA12" s="60">
        <v>-1.6</v>
      </c>
      <c r="AB12" s="61">
        <v>-1.65</v>
      </c>
      <c r="AC12" s="62">
        <v>-1.6</v>
      </c>
      <c r="AD12" s="78">
        <v>-1.75</v>
      </c>
      <c r="AE12" s="61">
        <v>-1.6</v>
      </c>
      <c r="AF12" s="62">
        <v>-1.6</v>
      </c>
    </row>
    <row r="13" spans="1:32" x14ac:dyDescent="0.2">
      <c r="A13" s="41">
        <v>70</v>
      </c>
      <c r="B13" s="72">
        <v>-0.7</v>
      </c>
      <c r="C13" s="61">
        <v>-0.7</v>
      </c>
      <c r="D13" s="73">
        <v>-0.7</v>
      </c>
      <c r="E13" s="73">
        <v>-0.7</v>
      </c>
      <c r="F13" s="73">
        <v>-0.7</v>
      </c>
      <c r="G13" s="73">
        <v>-0.7</v>
      </c>
      <c r="H13" s="76">
        <v>-0.75</v>
      </c>
      <c r="I13" s="72"/>
      <c r="J13" s="73"/>
      <c r="K13" s="61"/>
      <c r="L13" s="73"/>
      <c r="M13" s="74"/>
      <c r="N13" s="79">
        <v>-1.1000000000000001</v>
      </c>
      <c r="O13" s="73">
        <v>-1.1000000000000001</v>
      </c>
      <c r="P13" s="61">
        <v>-1.1000000000000001</v>
      </c>
      <c r="Q13" s="73">
        <v>-1.05</v>
      </c>
      <c r="R13" s="73">
        <v>-1.05</v>
      </c>
      <c r="S13" s="76">
        <v>-1.05</v>
      </c>
      <c r="T13" s="72">
        <v>-1.4</v>
      </c>
      <c r="U13" s="73">
        <v>-1.5</v>
      </c>
      <c r="V13" s="61">
        <v>-1.5</v>
      </c>
      <c r="W13" s="73">
        <v>-1.45</v>
      </c>
      <c r="X13" s="73">
        <v>-1.5</v>
      </c>
      <c r="Y13" s="74">
        <v>-1.6</v>
      </c>
      <c r="Z13" s="72">
        <v>-1.85</v>
      </c>
      <c r="AA13" s="73">
        <v>-1.85</v>
      </c>
      <c r="AB13" s="61">
        <v>-1.8</v>
      </c>
      <c r="AC13" s="74">
        <v>-1.75</v>
      </c>
      <c r="AD13" s="79">
        <v>-1.85</v>
      </c>
      <c r="AE13" s="61">
        <v>-1.75</v>
      </c>
      <c r="AF13" s="74">
        <v>-1.8</v>
      </c>
    </row>
    <row r="14" spans="1:32" x14ac:dyDescent="0.2">
      <c r="A14" s="42">
        <v>75</v>
      </c>
      <c r="B14" s="59">
        <v>-0.8</v>
      </c>
      <c r="C14" s="61">
        <v>-0.8</v>
      </c>
      <c r="D14" s="60">
        <v>-0.8</v>
      </c>
      <c r="E14" s="60">
        <v>-0.8</v>
      </c>
      <c r="F14" s="60">
        <v>-0.9</v>
      </c>
      <c r="G14" s="60">
        <v>-0.95</v>
      </c>
      <c r="H14" s="64">
        <v>-1</v>
      </c>
      <c r="I14" s="59">
        <v>-0.95</v>
      </c>
      <c r="J14" s="60">
        <v>-0.95</v>
      </c>
      <c r="K14" s="61">
        <v>-0.95</v>
      </c>
      <c r="L14" s="60">
        <v>-0.95</v>
      </c>
      <c r="M14" s="62">
        <v>-0.95</v>
      </c>
      <c r="N14" s="78">
        <v>-1.2</v>
      </c>
      <c r="O14" s="60">
        <v>-1.2</v>
      </c>
      <c r="P14" s="61">
        <v>-1.2</v>
      </c>
      <c r="Q14" s="60">
        <v>-1.2</v>
      </c>
      <c r="R14" s="60">
        <v>-1.25</v>
      </c>
      <c r="S14" s="64">
        <v>-1.3</v>
      </c>
      <c r="T14" s="59">
        <v>-1.45</v>
      </c>
      <c r="U14" s="60">
        <v>-1.55</v>
      </c>
      <c r="V14" s="61">
        <v>-1.55</v>
      </c>
      <c r="W14" s="60">
        <v>-1.6</v>
      </c>
      <c r="X14" s="60">
        <v>-1.7</v>
      </c>
      <c r="Y14" s="62">
        <v>-1.8</v>
      </c>
      <c r="Z14" s="59">
        <v>-2</v>
      </c>
      <c r="AA14" s="60">
        <v>-1.95</v>
      </c>
      <c r="AB14" s="61">
        <v>-2</v>
      </c>
      <c r="AC14" s="62">
        <v>-1.9</v>
      </c>
      <c r="AD14" s="78">
        <v>-2</v>
      </c>
      <c r="AE14" s="61">
        <v>-1.9</v>
      </c>
      <c r="AF14" s="62">
        <v>-1.95</v>
      </c>
    </row>
    <row r="15" spans="1:32" x14ac:dyDescent="0.2">
      <c r="A15" s="41">
        <v>80</v>
      </c>
      <c r="B15" s="72">
        <v>-0.85</v>
      </c>
      <c r="C15" s="61">
        <v>-0.85</v>
      </c>
      <c r="D15" s="73">
        <v>-0.9</v>
      </c>
      <c r="E15" s="73">
        <v>-0.95</v>
      </c>
      <c r="F15" s="73">
        <v>-1.05</v>
      </c>
      <c r="G15" s="73">
        <v>-1.1499999999999999</v>
      </c>
      <c r="H15" s="76">
        <v>-1.25</v>
      </c>
      <c r="I15" s="72"/>
      <c r="J15" s="73"/>
      <c r="K15" s="61"/>
      <c r="L15" s="73"/>
      <c r="M15" s="74"/>
      <c r="N15" s="79">
        <v>-1.25</v>
      </c>
      <c r="O15" s="73">
        <v>-1.3</v>
      </c>
      <c r="P15" s="61">
        <v>-1.3</v>
      </c>
      <c r="Q15" s="73">
        <v>-1.35</v>
      </c>
      <c r="R15" s="73">
        <v>-1.45</v>
      </c>
      <c r="S15" s="76">
        <v>-1.5</v>
      </c>
      <c r="T15" s="72">
        <v>-1.5</v>
      </c>
      <c r="U15" s="73">
        <v>-1.6</v>
      </c>
      <c r="V15" s="61">
        <v>-1.6</v>
      </c>
      <c r="W15" s="73">
        <v>-1.7</v>
      </c>
      <c r="X15" s="73">
        <v>-1.8</v>
      </c>
      <c r="Y15" s="74">
        <v>-2</v>
      </c>
      <c r="Z15" s="72">
        <v>-2.1</v>
      </c>
      <c r="AA15" s="73">
        <v>-2.1</v>
      </c>
      <c r="AB15" s="61">
        <v>-2.2000000000000002</v>
      </c>
      <c r="AC15" s="74">
        <v>-2.15</v>
      </c>
      <c r="AD15" s="79">
        <v>-2.15</v>
      </c>
      <c r="AE15" s="61">
        <v>-2.15</v>
      </c>
      <c r="AF15" s="74">
        <v>-2.2999999999999998</v>
      </c>
    </row>
    <row r="16" spans="1:32" x14ac:dyDescent="0.2">
      <c r="A16" s="42">
        <v>85</v>
      </c>
      <c r="B16" s="59">
        <v>-0.8</v>
      </c>
      <c r="C16" s="61">
        <v>-0.95</v>
      </c>
      <c r="D16" s="60">
        <v>-1</v>
      </c>
      <c r="E16" s="60">
        <v>-1.1000000000000001</v>
      </c>
      <c r="F16" s="60">
        <v>-1.25</v>
      </c>
      <c r="G16" s="60">
        <v>-1.35</v>
      </c>
      <c r="H16" s="64">
        <v>-1.55</v>
      </c>
      <c r="I16" s="59"/>
      <c r="J16" s="60"/>
      <c r="K16" s="61"/>
      <c r="L16" s="60"/>
      <c r="M16" s="62"/>
      <c r="N16" s="78">
        <v>-1.35</v>
      </c>
      <c r="O16" s="60">
        <v>-1.35</v>
      </c>
      <c r="P16" s="61">
        <v>-1.4</v>
      </c>
      <c r="Q16" s="60">
        <v>-1.5</v>
      </c>
      <c r="R16" s="60">
        <v>-1.65</v>
      </c>
      <c r="S16" s="64">
        <v>-1.7</v>
      </c>
      <c r="T16" s="59">
        <v>-1.6</v>
      </c>
      <c r="U16" s="60">
        <v>-1.65</v>
      </c>
      <c r="V16" s="61">
        <v>-1.7</v>
      </c>
      <c r="W16" s="60">
        <v>-1.8</v>
      </c>
      <c r="X16" s="60">
        <v>-2</v>
      </c>
      <c r="Y16" s="62">
        <v>-2.2000000000000002</v>
      </c>
      <c r="Z16" s="59">
        <v>-2.2000000000000002</v>
      </c>
      <c r="AA16" s="60">
        <v>-2.2000000000000002</v>
      </c>
      <c r="AB16" s="61">
        <v>-2.4</v>
      </c>
      <c r="AC16" s="62">
        <v>-2.35</v>
      </c>
      <c r="AD16" s="78">
        <v>-2.25</v>
      </c>
      <c r="AE16" s="61">
        <v>-2.2999999999999998</v>
      </c>
      <c r="AF16" s="62">
        <v>-2.75</v>
      </c>
    </row>
    <row r="17" spans="1:32" x14ac:dyDescent="0.2">
      <c r="A17" s="43">
        <v>90</v>
      </c>
      <c r="B17" s="80">
        <v>-0.9</v>
      </c>
      <c r="C17" s="61">
        <v>-0.95</v>
      </c>
      <c r="D17" s="61">
        <v>-1</v>
      </c>
      <c r="E17" s="61">
        <v>-1.2</v>
      </c>
      <c r="F17" s="61">
        <v>-1.4</v>
      </c>
      <c r="G17" s="61">
        <v>-1.65</v>
      </c>
      <c r="H17" s="81">
        <v>-1.9</v>
      </c>
      <c r="I17" s="80">
        <v>-1.1499999999999999</v>
      </c>
      <c r="J17" s="61">
        <v>-1.1499999999999999</v>
      </c>
      <c r="K17" s="61">
        <v>-1.2</v>
      </c>
      <c r="L17" s="61">
        <v>-1.25</v>
      </c>
      <c r="M17" s="82">
        <v>-1.35</v>
      </c>
      <c r="N17" s="83">
        <v>-1.4</v>
      </c>
      <c r="O17" s="61">
        <v>-1.45</v>
      </c>
      <c r="P17" s="61">
        <v>-1.5</v>
      </c>
      <c r="Q17" s="61">
        <v>-1.7</v>
      </c>
      <c r="R17" s="61">
        <v>-1.85</v>
      </c>
      <c r="S17" s="81">
        <v>-1.9</v>
      </c>
      <c r="T17" s="80">
        <v>-1.7</v>
      </c>
      <c r="U17" s="61">
        <v>-1.75</v>
      </c>
      <c r="V17" s="61">
        <v>-1.8</v>
      </c>
      <c r="W17" s="61">
        <v>-1.95</v>
      </c>
      <c r="X17" s="61">
        <v>-2.2000000000000002</v>
      </c>
      <c r="Y17" s="82">
        <v>-2.5</v>
      </c>
      <c r="Z17" s="80">
        <v>-2.2999999999999998</v>
      </c>
      <c r="AA17" s="61">
        <v>-2.35</v>
      </c>
      <c r="AB17" s="61">
        <v>-2.6</v>
      </c>
      <c r="AC17" s="82">
        <v>-2.65</v>
      </c>
      <c r="AD17" s="83">
        <v>-2.4</v>
      </c>
      <c r="AE17" s="61">
        <v>-2.75</v>
      </c>
      <c r="AF17" s="82">
        <v>-2.9</v>
      </c>
    </row>
    <row r="18" spans="1:32" x14ac:dyDescent="0.2">
      <c r="A18" s="42">
        <v>95</v>
      </c>
      <c r="B18" s="59">
        <v>-0.85</v>
      </c>
      <c r="C18" s="61">
        <v>-0.9</v>
      </c>
      <c r="D18" s="60">
        <v>-0.95</v>
      </c>
      <c r="E18" s="60">
        <v>-1.05</v>
      </c>
      <c r="F18" s="60">
        <v>-1.2</v>
      </c>
      <c r="G18" s="60">
        <v>-1.34</v>
      </c>
      <c r="H18" s="64">
        <v>-1.5</v>
      </c>
      <c r="I18" s="59"/>
      <c r="J18" s="60"/>
      <c r="K18" s="61"/>
      <c r="L18" s="60"/>
      <c r="M18" s="62"/>
      <c r="N18" s="78">
        <v>-1.2</v>
      </c>
      <c r="O18" s="60">
        <v>-1.3</v>
      </c>
      <c r="P18" s="61">
        <v>-1.3</v>
      </c>
      <c r="Q18" s="60">
        <v>-1.45</v>
      </c>
      <c r="R18" s="60">
        <v>-1.6</v>
      </c>
      <c r="S18" s="64">
        <v>-1.7</v>
      </c>
      <c r="T18" s="59">
        <v>-1.55</v>
      </c>
      <c r="U18" s="60">
        <v>-1.6</v>
      </c>
      <c r="V18" s="61">
        <v>-1.65</v>
      </c>
      <c r="W18" s="60">
        <v>-1.7</v>
      </c>
      <c r="X18" s="60">
        <v>-2</v>
      </c>
      <c r="Y18" s="62">
        <v>-2.25</v>
      </c>
      <c r="Z18" s="59">
        <v>-2.15</v>
      </c>
      <c r="AA18" s="60">
        <v>-2.1</v>
      </c>
      <c r="AB18" s="61">
        <v>-2.15</v>
      </c>
      <c r="AC18" s="62">
        <v>-2.2999999999999998</v>
      </c>
      <c r="AD18" s="78">
        <v>-2.0499999999999998</v>
      </c>
      <c r="AE18" s="61">
        <v>-2.1</v>
      </c>
      <c r="AF18" s="62">
        <v>-2.6</v>
      </c>
    </row>
    <row r="19" spans="1:32" x14ac:dyDescent="0.2">
      <c r="A19" s="41">
        <v>100</v>
      </c>
      <c r="B19" s="72">
        <v>-0.75</v>
      </c>
      <c r="C19" s="61">
        <v>-0.8</v>
      </c>
      <c r="D19" s="73">
        <v>-0.85</v>
      </c>
      <c r="E19" s="73">
        <v>-0.9</v>
      </c>
      <c r="F19" s="73">
        <v>-1.05</v>
      </c>
      <c r="G19" s="73">
        <v>-1.1499999999999999</v>
      </c>
      <c r="H19" s="76">
        <v>-1.25</v>
      </c>
      <c r="I19" s="72"/>
      <c r="J19" s="73"/>
      <c r="K19" s="61"/>
      <c r="L19" s="73"/>
      <c r="M19" s="74"/>
      <c r="N19" s="79">
        <v>-1.1000000000000001</v>
      </c>
      <c r="O19" s="73">
        <v>-1.1499999999999999</v>
      </c>
      <c r="P19" s="61">
        <v>-1.2</v>
      </c>
      <c r="Q19" s="73">
        <v>-1.25</v>
      </c>
      <c r="R19" s="73">
        <v>-1.4</v>
      </c>
      <c r="S19" s="76">
        <v>-1.6</v>
      </c>
      <c r="T19" s="72">
        <v>-1.4</v>
      </c>
      <c r="U19" s="73">
        <v>-1.45</v>
      </c>
      <c r="V19" s="61">
        <v>-1.5</v>
      </c>
      <c r="W19" s="73">
        <v>-1.5</v>
      </c>
      <c r="X19" s="73">
        <v>-1.8</v>
      </c>
      <c r="Y19" s="74">
        <v>-1.8</v>
      </c>
      <c r="Z19" s="72">
        <v>-1.85</v>
      </c>
      <c r="AA19" s="73">
        <v>-1.85</v>
      </c>
      <c r="AB19" s="61">
        <v>-1.9</v>
      </c>
      <c r="AC19" s="74">
        <v>-2</v>
      </c>
      <c r="AD19" s="79">
        <v>-1.8</v>
      </c>
      <c r="AE19" s="61">
        <v>-1.85</v>
      </c>
      <c r="AF19" s="74">
        <v>-2.2999999999999998</v>
      </c>
    </row>
    <row r="20" spans="1:32" x14ac:dyDescent="0.2">
      <c r="A20" s="42">
        <v>105</v>
      </c>
      <c r="B20" s="59">
        <v>-0.6</v>
      </c>
      <c r="C20" s="61">
        <v>-0.7</v>
      </c>
      <c r="D20" s="60">
        <v>-0.8</v>
      </c>
      <c r="E20" s="60">
        <v>-0.9</v>
      </c>
      <c r="F20" s="60">
        <v>-1</v>
      </c>
      <c r="G20" s="60">
        <v>-1.1000000000000001</v>
      </c>
      <c r="H20" s="64">
        <v>-1.2</v>
      </c>
      <c r="I20" s="59">
        <v>-0.8</v>
      </c>
      <c r="J20" s="60">
        <v>-0.8</v>
      </c>
      <c r="K20" s="61">
        <v>-0.8</v>
      </c>
      <c r="L20" s="60">
        <v>-0.85</v>
      </c>
      <c r="M20" s="62">
        <v>-0.9</v>
      </c>
      <c r="N20" s="78">
        <v>-1</v>
      </c>
      <c r="O20" s="60">
        <v>-1</v>
      </c>
      <c r="P20" s="61">
        <v>-1.1000000000000001</v>
      </c>
      <c r="Q20" s="60">
        <v>-1.2</v>
      </c>
      <c r="R20" s="60">
        <v>-1.3</v>
      </c>
      <c r="S20" s="64">
        <v>-1.5</v>
      </c>
      <c r="T20" s="59">
        <v>-1.3</v>
      </c>
      <c r="U20" s="78">
        <v>-1.25</v>
      </c>
      <c r="V20" s="61">
        <v>-1.35</v>
      </c>
      <c r="W20" s="60">
        <v>-1.3</v>
      </c>
      <c r="X20" s="60">
        <v>-1.5</v>
      </c>
      <c r="Y20" s="62">
        <v>-1.6</v>
      </c>
      <c r="Z20" s="59">
        <v>-1.7</v>
      </c>
      <c r="AA20" s="60">
        <v>-1.7</v>
      </c>
      <c r="AB20" s="61">
        <v>-1.75</v>
      </c>
      <c r="AC20" s="62">
        <v>-1.7</v>
      </c>
      <c r="AD20" s="78">
        <v>-1.5</v>
      </c>
      <c r="AE20" s="61">
        <v>-1.6</v>
      </c>
      <c r="AF20" s="62">
        <v>-2</v>
      </c>
    </row>
    <row r="21" spans="1:32" x14ac:dyDescent="0.2">
      <c r="A21" s="41">
        <v>110</v>
      </c>
      <c r="B21" s="72">
        <v>-0.6</v>
      </c>
      <c r="C21" s="61">
        <v>-0.6</v>
      </c>
      <c r="D21" s="73">
        <v>-0.65</v>
      </c>
      <c r="E21" s="73">
        <v>-0.65</v>
      </c>
      <c r="F21" s="73">
        <v>-0.75</v>
      </c>
      <c r="G21" s="73">
        <v>-0.8</v>
      </c>
      <c r="H21" s="76">
        <v>-0.9</v>
      </c>
      <c r="I21" s="72"/>
      <c r="J21" s="73"/>
      <c r="K21" s="61"/>
      <c r="L21" s="73"/>
      <c r="M21" s="74"/>
      <c r="N21" s="79">
        <v>-0.85</v>
      </c>
      <c r="O21" s="73">
        <v>-0.9</v>
      </c>
      <c r="P21" s="61">
        <v>-1</v>
      </c>
      <c r="Q21" s="73">
        <v>-0.95</v>
      </c>
      <c r="R21" s="73">
        <v>-1.1000000000000001</v>
      </c>
      <c r="S21" s="76">
        <v>-1.05</v>
      </c>
      <c r="T21" s="72">
        <v>-1.2</v>
      </c>
      <c r="U21" s="79">
        <v>-1.1499999999999999</v>
      </c>
      <c r="V21" s="61">
        <v>-1.2</v>
      </c>
      <c r="W21" s="73">
        <v>-1.2</v>
      </c>
      <c r="X21" s="73">
        <v>-1.25</v>
      </c>
      <c r="Y21" s="74">
        <v>-1.45</v>
      </c>
      <c r="Z21" s="72">
        <v>-1.5</v>
      </c>
      <c r="AA21" s="73">
        <v>-1.5</v>
      </c>
      <c r="AB21" s="61">
        <v>-1.55</v>
      </c>
      <c r="AC21" s="74">
        <v>-1.5</v>
      </c>
      <c r="AD21" s="79">
        <v>-1.3</v>
      </c>
      <c r="AE21" s="61">
        <v>-1.35</v>
      </c>
      <c r="AF21" s="74">
        <v>-1.8</v>
      </c>
    </row>
    <row r="22" spans="1:32" x14ac:dyDescent="0.2">
      <c r="A22" s="42">
        <v>115</v>
      </c>
      <c r="B22" s="59">
        <v>-0.5</v>
      </c>
      <c r="C22" s="61">
        <v>-0.55000000000000004</v>
      </c>
      <c r="D22" s="60">
        <v>-0.55000000000000004</v>
      </c>
      <c r="E22" s="60">
        <v>-0.6</v>
      </c>
      <c r="F22" s="60">
        <v>-0.65</v>
      </c>
      <c r="G22" s="60">
        <v>-0.7</v>
      </c>
      <c r="H22" s="64">
        <v>-0.8</v>
      </c>
      <c r="I22" s="59"/>
      <c r="J22" s="60"/>
      <c r="K22" s="61"/>
      <c r="L22" s="60"/>
      <c r="M22" s="62"/>
      <c r="N22" s="78">
        <v>-0.75</v>
      </c>
      <c r="O22" s="60">
        <v>-0.8</v>
      </c>
      <c r="P22" s="61">
        <v>-0.9</v>
      </c>
      <c r="Q22" s="60">
        <v>-0.85</v>
      </c>
      <c r="R22" s="60">
        <v>-1</v>
      </c>
      <c r="S22" s="64">
        <v>-0.95</v>
      </c>
      <c r="T22" s="59">
        <v>-1</v>
      </c>
      <c r="U22" s="78">
        <v>-1.05</v>
      </c>
      <c r="V22" s="61">
        <v>-1.05</v>
      </c>
      <c r="W22" s="60">
        <v>-1.1000000000000001</v>
      </c>
      <c r="X22" s="60">
        <v>-1.1000000000000001</v>
      </c>
      <c r="Y22" s="62">
        <v>-1.2</v>
      </c>
      <c r="Z22" s="59">
        <v>-1.35</v>
      </c>
      <c r="AA22" s="60">
        <v>-1.3</v>
      </c>
      <c r="AB22" s="61">
        <v>-1.35</v>
      </c>
      <c r="AC22" s="62">
        <v>-1.3</v>
      </c>
      <c r="AD22" s="78">
        <v>-1.1000000000000001</v>
      </c>
      <c r="AE22" s="61">
        <v>-1.1499999999999999</v>
      </c>
      <c r="AF22" s="62">
        <v>-1.6</v>
      </c>
    </row>
    <row r="23" spans="1:32" x14ac:dyDescent="0.2">
      <c r="A23" s="41">
        <v>120</v>
      </c>
      <c r="B23" s="72">
        <v>-0.4</v>
      </c>
      <c r="C23" s="61">
        <v>-0.45</v>
      </c>
      <c r="D23" s="73">
        <v>-0.5</v>
      </c>
      <c r="E23" s="73">
        <v>-0.55000000000000004</v>
      </c>
      <c r="F23" s="73">
        <v>-0.6</v>
      </c>
      <c r="G23" s="73">
        <v>-0.7</v>
      </c>
      <c r="H23" s="76">
        <v>-0.75</v>
      </c>
      <c r="I23" s="72">
        <v>-0.55000000000000004</v>
      </c>
      <c r="J23" s="73">
        <v>-0.55000000000000004</v>
      </c>
      <c r="K23" s="61">
        <v>-0.55000000000000004</v>
      </c>
      <c r="L23" s="73">
        <v>-0.55000000000000004</v>
      </c>
      <c r="M23" s="74">
        <v>-0.6</v>
      </c>
      <c r="N23" s="79">
        <v>-0.7</v>
      </c>
      <c r="O23" s="73">
        <v>-0.7</v>
      </c>
      <c r="P23" s="61">
        <v>-0.8</v>
      </c>
      <c r="Q23" s="73">
        <v>-0.8</v>
      </c>
      <c r="R23" s="73">
        <v>-0.9</v>
      </c>
      <c r="S23" s="76">
        <v>-0.8</v>
      </c>
      <c r="T23" s="72">
        <v>-0.8</v>
      </c>
      <c r="U23" s="73">
        <v>-0.9</v>
      </c>
      <c r="V23" s="61">
        <v>-0.9</v>
      </c>
      <c r="W23" s="73">
        <v>-0.95</v>
      </c>
      <c r="X23" s="73">
        <v>-0.95</v>
      </c>
      <c r="Y23" s="74">
        <v>-0.95</v>
      </c>
      <c r="Z23" s="72">
        <v>-1.1499999999999999</v>
      </c>
      <c r="AA23" s="73">
        <v>-1.1499999999999999</v>
      </c>
      <c r="AB23" s="61">
        <v>-1.1499999999999999</v>
      </c>
      <c r="AC23" s="74">
        <v>-1.1499999999999999</v>
      </c>
      <c r="AD23" s="79">
        <v>-0.95</v>
      </c>
      <c r="AE23" s="61">
        <v>-1</v>
      </c>
      <c r="AF23" s="74">
        <v>-1.4</v>
      </c>
    </row>
    <row r="24" spans="1:32" x14ac:dyDescent="0.2">
      <c r="A24" s="42">
        <v>125</v>
      </c>
      <c r="B24" s="59">
        <v>-0.4</v>
      </c>
      <c r="C24" s="61">
        <v>-0.4</v>
      </c>
      <c r="D24" s="60">
        <v>-0.4</v>
      </c>
      <c r="E24" s="60">
        <v>-0.4</v>
      </c>
      <c r="F24" s="60">
        <v>-0.45</v>
      </c>
      <c r="G24" s="60">
        <v>-0.5</v>
      </c>
      <c r="H24" s="64">
        <v>-0.6</v>
      </c>
      <c r="I24" s="59"/>
      <c r="J24" s="60"/>
      <c r="K24" s="61"/>
      <c r="L24" s="60"/>
      <c r="M24" s="62"/>
      <c r="N24" s="78">
        <v>-0.6</v>
      </c>
      <c r="O24" s="60">
        <v>-0.6</v>
      </c>
      <c r="P24" s="61">
        <v>-0.7</v>
      </c>
      <c r="Q24" s="60">
        <v>-0.7</v>
      </c>
      <c r="R24" s="60">
        <v>-0.75</v>
      </c>
      <c r="S24" s="64">
        <v>-0.7</v>
      </c>
      <c r="T24" s="59">
        <v>-0.7</v>
      </c>
      <c r="U24" s="60">
        <v>-0.75</v>
      </c>
      <c r="V24" s="61">
        <v>-0.8</v>
      </c>
      <c r="W24" s="60">
        <v>-0.8</v>
      </c>
      <c r="X24" s="60">
        <v>-0.9</v>
      </c>
      <c r="Y24" s="62">
        <v>-0.9</v>
      </c>
      <c r="Z24" s="59">
        <v>-1.05</v>
      </c>
      <c r="AA24" s="60">
        <v>-1</v>
      </c>
      <c r="AB24" s="61">
        <v>-1.05</v>
      </c>
      <c r="AC24" s="62">
        <v>-1</v>
      </c>
      <c r="AD24" s="78">
        <v>-0.75</v>
      </c>
      <c r="AE24" s="61">
        <v>-0.8</v>
      </c>
      <c r="AF24" s="62">
        <v>-1.2</v>
      </c>
    </row>
    <row r="25" spans="1:32" x14ac:dyDescent="0.2">
      <c r="A25" s="41">
        <v>130</v>
      </c>
      <c r="B25" s="72">
        <v>-0.35</v>
      </c>
      <c r="C25" s="61">
        <v>-0.35</v>
      </c>
      <c r="D25" s="73">
        <v>-0.35</v>
      </c>
      <c r="E25" s="73">
        <v>-0.35</v>
      </c>
      <c r="F25" s="73">
        <v>-0.4</v>
      </c>
      <c r="G25" s="73">
        <v>-0.4</v>
      </c>
      <c r="H25" s="76">
        <v>-0.5</v>
      </c>
      <c r="I25" s="72"/>
      <c r="J25" s="73"/>
      <c r="K25" s="61"/>
      <c r="L25" s="73"/>
      <c r="M25" s="74"/>
      <c r="N25" s="79">
        <v>-0.5</v>
      </c>
      <c r="O25" s="73">
        <v>-0.55000000000000004</v>
      </c>
      <c r="P25" s="61">
        <v>-0.6</v>
      </c>
      <c r="Q25" s="73">
        <v>-0.55000000000000004</v>
      </c>
      <c r="R25" s="73">
        <v>-0.65</v>
      </c>
      <c r="S25" s="76">
        <v>-0.6</v>
      </c>
      <c r="T25" s="72">
        <v>-0.65</v>
      </c>
      <c r="U25" s="73">
        <v>-0.65</v>
      </c>
      <c r="V25" s="61">
        <v>-0.7</v>
      </c>
      <c r="W25" s="73">
        <v>-0.7</v>
      </c>
      <c r="X25" s="73">
        <v>-0.7</v>
      </c>
      <c r="Y25" s="74">
        <v>-0.8</v>
      </c>
      <c r="Z25" s="72">
        <v>-0.95</v>
      </c>
      <c r="AA25" s="73">
        <v>-0.9</v>
      </c>
      <c r="AB25" s="61">
        <v>-0.9</v>
      </c>
      <c r="AC25" s="74">
        <v>-0.9</v>
      </c>
      <c r="AD25" s="79">
        <v>-0.7</v>
      </c>
      <c r="AE25" s="61">
        <v>-0.65</v>
      </c>
      <c r="AF25" s="74">
        <v>-1.05</v>
      </c>
    </row>
    <row r="26" spans="1:32" x14ac:dyDescent="0.2">
      <c r="A26" s="42">
        <v>135</v>
      </c>
      <c r="B26" s="59">
        <v>-0.3</v>
      </c>
      <c r="C26" s="61">
        <v>-0.3</v>
      </c>
      <c r="D26" s="60">
        <v>-0.3</v>
      </c>
      <c r="E26" s="60">
        <v>-0.35</v>
      </c>
      <c r="F26" s="60">
        <v>-0.35</v>
      </c>
      <c r="G26" s="60">
        <v>-0.4</v>
      </c>
      <c r="H26" s="64">
        <v>-0.45</v>
      </c>
      <c r="I26" s="59">
        <v>-0.4</v>
      </c>
      <c r="J26" s="60">
        <v>-0.35</v>
      </c>
      <c r="K26" s="61">
        <v>-0.35</v>
      </c>
      <c r="L26" s="60">
        <v>-0.35</v>
      </c>
      <c r="M26" s="62">
        <v>-0.35</v>
      </c>
      <c r="N26" s="78">
        <v>-0.45</v>
      </c>
      <c r="O26" s="60">
        <v>-0.5</v>
      </c>
      <c r="P26" s="61">
        <v>-0.5</v>
      </c>
      <c r="Q26" s="60">
        <v>-0.45</v>
      </c>
      <c r="R26" s="60">
        <v>-0.55000000000000004</v>
      </c>
      <c r="S26" s="64">
        <v>-0.5</v>
      </c>
      <c r="T26" s="59">
        <v>-0.6</v>
      </c>
      <c r="U26" s="60">
        <v>-0.55000000000000004</v>
      </c>
      <c r="V26" s="61">
        <v>-0.6</v>
      </c>
      <c r="W26" s="60">
        <v>-0.6</v>
      </c>
      <c r="X26" s="60">
        <v>-0.65</v>
      </c>
      <c r="Y26" s="62">
        <v>-0.7</v>
      </c>
      <c r="Z26" s="59">
        <v>-0.8</v>
      </c>
      <c r="AA26" s="60">
        <v>-0.8</v>
      </c>
      <c r="AB26" s="61">
        <v>-0.8</v>
      </c>
      <c r="AC26" s="62">
        <v>-0.75</v>
      </c>
      <c r="AD26" s="78">
        <v>-0.55000000000000004</v>
      </c>
      <c r="AE26" s="61">
        <v>-0.55000000000000004</v>
      </c>
      <c r="AF26" s="62">
        <v>-0.9</v>
      </c>
    </row>
    <row r="27" spans="1:32" x14ac:dyDescent="0.2">
      <c r="A27" s="41">
        <v>140</v>
      </c>
      <c r="B27" s="72">
        <v>-0.25</v>
      </c>
      <c r="C27" s="61">
        <v>-0.25</v>
      </c>
      <c r="D27" s="73">
        <v>-0.25</v>
      </c>
      <c r="E27" s="73">
        <v>-0.25</v>
      </c>
      <c r="F27" s="73">
        <v>-0.3</v>
      </c>
      <c r="G27" s="73">
        <v>-0.3</v>
      </c>
      <c r="H27" s="76">
        <v>-0.35</v>
      </c>
      <c r="I27" s="72"/>
      <c r="J27" s="73"/>
      <c r="K27" s="61"/>
      <c r="L27" s="73"/>
      <c r="M27" s="74"/>
      <c r="N27" s="79">
        <v>-0.4</v>
      </c>
      <c r="O27" s="73">
        <v>-0.4</v>
      </c>
      <c r="P27" s="61">
        <v>-0.45</v>
      </c>
      <c r="Q27" s="73">
        <v>-0.4</v>
      </c>
      <c r="R27" s="73">
        <v>-0.45</v>
      </c>
      <c r="S27" s="76">
        <v>-0.4</v>
      </c>
      <c r="T27" s="72">
        <v>-0.5</v>
      </c>
      <c r="U27" s="73">
        <v>-0.5</v>
      </c>
      <c r="V27" s="61">
        <v>-0.55000000000000004</v>
      </c>
      <c r="W27" s="73">
        <v>-0.5</v>
      </c>
      <c r="X27" s="73">
        <v>-0.5</v>
      </c>
      <c r="Y27" s="74">
        <v>-0.6</v>
      </c>
      <c r="Z27" s="72">
        <v>-0.7</v>
      </c>
      <c r="AA27" s="73">
        <v>-0.65</v>
      </c>
      <c r="AB27" s="61">
        <v>-0.65</v>
      </c>
      <c r="AC27" s="74">
        <v>-0.65</v>
      </c>
      <c r="AD27" s="79">
        <v>-0.4</v>
      </c>
      <c r="AE27" s="61">
        <v>-0.4</v>
      </c>
      <c r="AF27" s="74">
        <v>-0.8</v>
      </c>
    </row>
    <row r="28" spans="1:32" x14ac:dyDescent="0.2">
      <c r="A28" s="42">
        <v>145</v>
      </c>
      <c r="B28" s="59">
        <v>-0.2</v>
      </c>
      <c r="C28" s="61">
        <v>-0.2</v>
      </c>
      <c r="D28" s="60">
        <v>-0.2</v>
      </c>
      <c r="E28" s="60">
        <v>-0.2</v>
      </c>
      <c r="F28" s="60">
        <v>-0.2</v>
      </c>
      <c r="G28" s="60">
        <v>-0.25</v>
      </c>
      <c r="H28" s="64">
        <v>-0.3</v>
      </c>
      <c r="I28" s="59"/>
      <c r="J28" s="60"/>
      <c r="K28" s="61"/>
      <c r="L28" s="60"/>
      <c r="M28" s="62"/>
      <c r="N28" s="78">
        <v>-0.35</v>
      </c>
      <c r="O28" s="60">
        <v>-0.35</v>
      </c>
      <c r="P28" s="61">
        <v>-0.35</v>
      </c>
      <c r="Q28" s="60">
        <v>-0.35</v>
      </c>
      <c r="R28" s="60">
        <v>-0.4</v>
      </c>
      <c r="S28" s="64">
        <v>-0.3</v>
      </c>
      <c r="T28" s="59">
        <v>-0.4</v>
      </c>
      <c r="U28" s="60">
        <v>-0.4</v>
      </c>
      <c r="V28" s="61">
        <v>-0.4</v>
      </c>
      <c r="W28" s="60">
        <v>-0.4</v>
      </c>
      <c r="X28" s="60">
        <v>-0.4</v>
      </c>
      <c r="Y28" s="62">
        <v>-0.5</v>
      </c>
      <c r="Z28" s="59">
        <v>-0.6</v>
      </c>
      <c r="AA28" s="60">
        <v>-0.6</v>
      </c>
      <c r="AB28" s="61">
        <v>-0.55000000000000004</v>
      </c>
      <c r="AC28" s="62">
        <v>-0.55000000000000004</v>
      </c>
      <c r="AD28" s="78">
        <v>-0.3</v>
      </c>
      <c r="AE28" s="61">
        <v>-0.3</v>
      </c>
      <c r="AF28" s="62">
        <v>-0.7</v>
      </c>
    </row>
    <row r="29" spans="1:32" x14ac:dyDescent="0.2">
      <c r="A29" s="41">
        <v>150</v>
      </c>
      <c r="B29" s="72">
        <v>-0.15</v>
      </c>
      <c r="C29" s="61">
        <v>-0.15</v>
      </c>
      <c r="D29" s="73">
        <v>-0.15</v>
      </c>
      <c r="E29" s="73">
        <v>-0.2</v>
      </c>
      <c r="F29" s="73">
        <v>-0.2</v>
      </c>
      <c r="G29" s="73">
        <v>-0.2</v>
      </c>
      <c r="H29" s="76">
        <v>-0.25</v>
      </c>
      <c r="I29" s="72">
        <v>-0.25</v>
      </c>
      <c r="J29" s="73">
        <v>-0.25</v>
      </c>
      <c r="K29" s="61">
        <v>-0.2</v>
      </c>
      <c r="L29" s="73">
        <v>-0.2</v>
      </c>
      <c r="M29" s="74">
        <v>-0.2</v>
      </c>
      <c r="N29" s="79">
        <v>-0.3</v>
      </c>
      <c r="O29" s="73">
        <v>-0.3</v>
      </c>
      <c r="P29" s="61">
        <v>-0.3</v>
      </c>
      <c r="Q29" s="73">
        <v>-0.3</v>
      </c>
      <c r="R29" s="73">
        <v>-0.35</v>
      </c>
      <c r="S29" s="76">
        <v>-0.35</v>
      </c>
      <c r="T29" s="72">
        <v>-0.3</v>
      </c>
      <c r="U29" s="73">
        <v>-0.3</v>
      </c>
      <c r="V29" s="61">
        <v>-0.35</v>
      </c>
      <c r="W29" s="73">
        <v>-0.35</v>
      </c>
      <c r="X29" s="73">
        <v>-0.35</v>
      </c>
      <c r="Y29" s="74">
        <v>-0.4</v>
      </c>
      <c r="Z29" s="72">
        <v>-0.5</v>
      </c>
      <c r="AA29" s="73">
        <v>-0.5</v>
      </c>
      <c r="AB29" s="61">
        <v>-0.45</v>
      </c>
      <c r="AC29" s="74">
        <v>-0.45</v>
      </c>
      <c r="AD29" s="79">
        <v>-0.25</v>
      </c>
      <c r="AE29" s="61">
        <v>-0.2</v>
      </c>
      <c r="AF29" s="74">
        <v>-0.6</v>
      </c>
    </row>
    <row r="30" spans="1:32" x14ac:dyDescent="0.2">
      <c r="A30" s="42">
        <v>155</v>
      </c>
      <c r="B30" s="84">
        <v>-0.15</v>
      </c>
      <c r="C30" s="85">
        <v>-0.15</v>
      </c>
      <c r="D30" s="86">
        <v>-0.15</v>
      </c>
      <c r="E30" s="86">
        <v>-0.15</v>
      </c>
      <c r="F30" s="86">
        <v>-0.15</v>
      </c>
      <c r="G30" s="86">
        <v>-0.15</v>
      </c>
      <c r="H30" s="87">
        <v>-0.15</v>
      </c>
      <c r="I30" s="59"/>
      <c r="J30" s="60"/>
      <c r="K30" s="61"/>
      <c r="L30" s="60"/>
      <c r="M30" s="62"/>
      <c r="N30" s="88">
        <v>-0.25</v>
      </c>
      <c r="O30" s="86">
        <v>-0.25</v>
      </c>
      <c r="P30" s="85">
        <v>-0.25</v>
      </c>
      <c r="Q30" s="86">
        <v>-0.25</v>
      </c>
      <c r="R30" s="86">
        <v>-0.25</v>
      </c>
      <c r="S30" s="64">
        <v>-0.3</v>
      </c>
      <c r="T30" s="59">
        <v>-0.3</v>
      </c>
      <c r="U30" s="86">
        <v>-0.25</v>
      </c>
      <c r="V30" s="85">
        <v>-0.25</v>
      </c>
      <c r="W30" s="86">
        <v>-0.3</v>
      </c>
      <c r="X30" s="86">
        <v>-0.3</v>
      </c>
      <c r="Y30" s="89">
        <v>-0.35</v>
      </c>
      <c r="Z30" s="84">
        <v>-0.4</v>
      </c>
      <c r="AA30" s="86">
        <v>-0.4</v>
      </c>
      <c r="AB30" s="85">
        <v>-0.35</v>
      </c>
      <c r="AC30" s="89">
        <v>-0.35</v>
      </c>
      <c r="AD30" s="88">
        <v>-0.15</v>
      </c>
      <c r="AE30" s="85">
        <v>-0.15</v>
      </c>
      <c r="AF30" s="89">
        <v>-0.45</v>
      </c>
    </row>
    <row r="31" spans="1:32" x14ac:dyDescent="0.2">
      <c r="A31" s="41">
        <v>160</v>
      </c>
      <c r="B31" s="90">
        <v>-0.1</v>
      </c>
      <c r="C31" s="85">
        <v>-0.1</v>
      </c>
      <c r="D31" s="91">
        <v>-0.1</v>
      </c>
      <c r="E31" s="91">
        <v>-0.1</v>
      </c>
      <c r="F31" s="91">
        <v>-0.1</v>
      </c>
      <c r="G31" s="91">
        <v>-0.1</v>
      </c>
      <c r="H31" s="92">
        <v>-0.1</v>
      </c>
      <c r="I31" s="72"/>
      <c r="J31" s="73"/>
      <c r="K31" s="61"/>
      <c r="L31" s="73"/>
      <c r="M31" s="74"/>
      <c r="N31" s="93">
        <v>-0.2</v>
      </c>
      <c r="O31" s="91">
        <v>-0.2</v>
      </c>
      <c r="P31" s="85">
        <v>-0.2</v>
      </c>
      <c r="Q31" s="91">
        <v>-0.2</v>
      </c>
      <c r="R31" s="91">
        <v>-0.2</v>
      </c>
      <c r="S31" s="76">
        <v>-0.2</v>
      </c>
      <c r="T31" s="72">
        <v>-0.25</v>
      </c>
      <c r="U31" s="91">
        <v>-0.2</v>
      </c>
      <c r="V31" s="85">
        <v>-0.2</v>
      </c>
      <c r="W31" s="91">
        <v>-0.25</v>
      </c>
      <c r="X31" s="91">
        <v>-0.25</v>
      </c>
      <c r="Y31" s="94">
        <v>-0.3</v>
      </c>
      <c r="Z31" s="90">
        <v>-0.3</v>
      </c>
      <c r="AA31" s="91">
        <v>-0.3</v>
      </c>
      <c r="AB31" s="85">
        <v>-0.3</v>
      </c>
      <c r="AC31" s="94">
        <v>-0.25</v>
      </c>
      <c r="AD31" s="93">
        <v>-0.1</v>
      </c>
      <c r="AE31" s="85">
        <v>-0.1</v>
      </c>
      <c r="AF31" s="94">
        <v>-0.35</v>
      </c>
    </row>
    <row r="32" spans="1:32" ht="13.5" thickBot="1" x14ac:dyDescent="0.25">
      <c r="A32" s="44">
        <v>165</v>
      </c>
      <c r="B32" s="95">
        <v>-0.1</v>
      </c>
      <c r="C32" s="96">
        <v>-0.1</v>
      </c>
      <c r="D32" s="97">
        <v>-0.1</v>
      </c>
      <c r="E32" s="97">
        <v>-0.1</v>
      </c>
      <c r="F32" s="97">
        <v>-0.1</v>
      </c>
      <c r="G32" s="97">
        <v>-0.1</v>
      </c>
      <c r="H32" s="98">
        <v>-0.1</v>
      </c>
      <c r="I32" s="95">
        <v>-0.1</v>
      </c>
      <c r="J32" s="97">
        <v>-0.1</v>
      </c>
      <c r="K32" s="99">
        <v>-0.1</v>
      </c>
      <c r="L32" s="97">
        <v>-0.1</v>
      </c>
      <c r="M32" s="100">
        <v>-0.1</v>
      </c>
      <c r="N32" s="101">
        <v>-0.15</v>
      </c>
      <c r="O32" s="97">
        <v>-0.15</v>
      </c>
      <c r="P32" s="96">
        <v>-0.15</v>
      </c>
      <c r="Q32" s="97">
        <v>-0.15</v>
      </c>
      <c r="R32" s="97">
        <v>-0.15</v>
      </c>
      <c r="S32" s="98">
        <v>-0.15</v>
      </c>
      <c r="T32" s="95">
        <v>-0.2</v>
      </c>
      <c r="U32" s="97">
        <v>-0.15</v>
      </c>
      <c r="V32" s="96">
        <v>-0.2</v>
      </c>
      <c r="W32" s="97">
        <v>-0.2</v>
      </c>
      <c r="X32" s="97">
        <v>-0.2</v>
      </c>
      <c r="Y32" s="100">
        <v>-0.2</v>
      </c>
      <c r="Z32" s="95">
        <v>-0.25</v>
      </c>
      <c r="AA32" s="97">
        <v>-0.2</v>
      </c>
      <c r="AB32" s="96">
        <v>-0.25</v>
      </c>
      <c r="AC32" s="100">
        <v>-0.2</v>
      </c>
      <c r="AD32" s="101">
        <v>-0.1</v>
      </c>
      <c r="AE32" s="96">
        <v>-0.1</v>
      </c>
      <c r="AF32" s="100">
        <v>-0.25</v>
      </c>
    </row>
  </sheetData>
  <mergeCells count="6">
    <mergeCell ref="AD1:AF1"/>
    <mergeCell ref="B1:H1"/>
    <mergeCell ref="I1:M1"/>
    <mergeCell ref="N1:S1"/>
    <mergeCell ref="T1:Y1"/>
    <mergeCell ref="Z1:AC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91"/>
  <sheetViews>
    <sheetView topLeftCell="A157" zoomScale="85" zoomScaleNormal="85" workbookViewId="0">
      <selection activeCell="B162" sqref="B162:W162"/>
    </sheetView>
  </sheetViews>
  <sheetFormatPr defaultRowHeight="15" x14ac:dyDescent="0.2"/>
  <cols>
    <col min="1" max="1" width="17" customWidth="1"/>
    <col min="2" max="23" width="9.85546875" style="111" customWidth="1"/>
    <col min="24" max="25" width="9.140625" style="28"/>
    <col min="26" max="26" width="19.85546875" style="28" customWidth="1"/>
    <col min="27" max="28" width="9.140625" style="25"/>
  </cols>
  <sheetData>
    <row r="1" spans="1:39" s="5" customFormat="1" ht="16.5" thickBot="1" x14ac:dyDescent="0.3">
      <c r="A1" s="8" t="s">
        <v>5</v>
      </c>
      <c r="B1" s="16">
        <v>1</v>
      </c>
      <c r="C1" s="22"/>
      <c r="X1" s="27"/>
      <c r="Y1" s="27"/>
      <c r="Z1" s="27"/>
    </row>
    <row r="2" spans="1:39" s="6" customFormat="1" ht="16.5" thickBot="1" x14ac:dyDescent="0.25">
      <c r="A2" s="114" t="s">
        <v>6</v>
      </c>
      <c r="B2" s="116" t="s">
        <v>7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25"/>
      <c r="O2" s="125"/>
      <c r="P2" s="125"/>
      <c r="Q2" s="125"/>
      <c r="R2" s="125"/>
      <c r="S2" s="125"/>
      <c r="T2" s="125"/>
      <c r="U2" s="125"/>
      <c r="V2" s="125"/>
      <c r="W2" s="126"/>
      <c r="X2" s="17"/>
      <c r="Y2" s="17"/>
      <c r="Z2" s="17"/>
    </row>
    <row r="3" spans="1:39" s="10" customFormat="1" ht="16.5" thickBot="1" x14ac:dyDescent="0.3">
      <c r="A3" s="115"/>
      <c r="B3" s="15">
        <v>1</v>
      </c>
      <c r="C3" s="23">
        <v>1.1000000000000001</v>
      </c>
      <c r="D3" s="15">
        <v>1.2</v>
      </c>
      <c r="E3" s="15">
        <v>1.3</v>
      </c>
      <c r="F3" s="23">
        <v>1.4</v>
      </c>
      <c r="G3" s="15">
        <v>1.6</v>
      </c>
      <c r="H3" s="15">
        <v>1.7</v>
      </c>
      <c r="I3" s="23">
        <v>1.9</v>
      </c>
      <c r="J3" s="15">
        <v>2</v>
      </c>
      <c r="K3" s="15">
        <v>2.2999999999999998</v>
      </c>
      <c r="L3" s="23">
        <v>2.5</v>
      </c>
      <c r="M3" s="15">
        <v>2.6</v>
      </c>
      <c r="N3" s="15">
        <v>2.7</v>
      </c>
      <c r="O3" s="15">
        <v>3</v>
      </c>
      <c r="P3" s="15">
        <v>3.2</v>
      </c>
      <c r="Q3" s="15">
        <v>3.3</v>
      </c>
      <c r="R3" s="15">
        <v>3.4</v>
      </c>
      <c r="S3" s="23">
        <v>3.7</v>
      </c>
      <c r="T3" s="15">
        <v>3.9</v>
      </c>
      <c r="U3" s="15">
        <v>4.3</v>
      </c>
      <c r="V3" s="23">
        <v>4.5</v>
      </c>
      <c r="W3" s="23">
        <v>5.5</v>
      </c>
      <c r="X3" s="15"/>
      <c r="Y3" s="15"/>
      <c r="Z3" s="15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s="6" customFormat="1" ht="15.75" x14ac:dyDescent="0.25">
      <c r="A4" s="11">
        <v>15</v>
      </c>
      <c r="B4" s="17">
        <v>0</v>
      </c>
      <c r="C4" s="19">
        <v>0</v>
      </c>
      <c r="D4" s="17">
        <v>0</v>
      </c>
      <c r="E4" s="17">
        <v>0</v>
      </c>
      <c r="F4" s="19">
        <v>0</v>
      </c>
      <c r="G4" s="17">
        <v>0</v>
      </c>
      <c r="H4" s="17">
        <v>0</v>
      </c>
      <c r="I4" s="19">
        <v>0</v>
      </c>
      <c r="J4" s="17">
        <v>0</v>
      </c>
      <c r="K4" s="17">
        <v>0</v>
      </c>
      <c r="L4" s="19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9">
        <v>0</v>
      </c>
      <c r="T4" s="17">
        <v>0</v>
      </c>
      <c r="U4" s="17">
        <v>0</v>
      </c>
      <c r="V4" s="19">
        <v>0</v>
      </c>
      <c r="W4" s="19">
        <v>0</v>
      </c>
      <c r="X4" s="17"/>
      <c r="Y4" s="17"/>
      <c r="Z4" s="17"/>
    </row>
    <row r="5" spans="1:39" s="6" customFormat="1" ht="15.75" x14ac:dyDescent="0.25">
      <c r="A5" s="11">
        <v>20</v>
      </c>
      <c r="B5" s="17">
        <v>0</v>
      </c>
      <c r="C5" s="19">
        <v>0</v>
      </c>
      <c r="D5" s="17">
        <v>0</v>
      </c>
      <c r="E5" s="17">
        <v>0</v>
      </c>
      <c r="F5" s="19">
        <v>0</v>
      </c>
      <c r="G5" s="17">
        <v>0</v>
      </c>
      <c r="H5" s="17">
        <v>0</v>
      </c>
      <c r="I5" s="19">
        <v>0</v>
      </c>
      <c r="J5" s="17">
        <v>0</v>
      </c>
      <c r="K5" s="17">
        <v>0</v>
      </c>
      <c r="L5" s="19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9">
        <v>0</v>
      </c>
      <c r="T5" s="17">
        <v>0</v>
      </c>
      <c r="U5" s="17">
        <v>0</v>
      </c>
      <c r="V5" s="19">
        <v>0</v>
      </c>
      <c r="W5" s="19">
        <v>0</v>
      </c>
      <c r="X5" s="17"/>
      <c r="Y5" s="17"/>
      <c r="Z5" s="17"/>
    </row>
    <row r="6" spans="1:39" s="6" customFormat="1" ht="15.75" x14ac:dyDescent="0.25">
      <c r="A6" s="11">
        <v>25</v>
      </c>
      <c r="B6" s="17">
        <v>0</v>
      </c>
      <c r="C6" s="19">
        <v>0</v>
      </c>
      <c r="D6" s="17">
        <v>0</v>
      </c>
      <c r="E6" s="17">
        <v>0</v>
      </c>
      <c r="F6" s="19">
        <v>0</v>
      </c>
      <c r="G6" s="17">
        <v>0</v>
      </c>
      <c r="H6" s="17">
        <v>0</v>
      </c>
      <c r="I6" s="19">
        <v>0</v>
      </c>
      <c r="J6" s="17">
        <v>0</v>
      </c>
      <c r="K6" s="17">
        <v>0</v>
      </c>
      <c r="L6" s="19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9">
        <v>0</v>
      </c>
      <c r="T6" s="17">
        <v>0</v>
      </c>
      <c r="U6" s="17">
        <v>0</v>
      </c>
      <c r="V6" s="19">
        <v>0</v>
      </c>
      <c r="W6" s="19">
        <v>0</v>
      </c>
      <c r="X6" s="17"/>
      <c r="Y6" s="17"/>
      <c r="Z6" s="17"/>
    </row>
    <row r="7" spans="1:39" s="6" customFormat="1" ht="15.75" x14ac:dyDescent="0.25">
      <c r="A7" s="11">
        <v>30</v>
      </c>
      <c r="B7" s="17">
        <v>0</v>
      </c>
      <c r="C7" s="19">
        <v>0</v>
      </c>
      <c r="D7" s="17">
        <v>0</v>
      </c>
      <c r="E7" s="17">
        <v>0</v>
      </c>
      <c r="F7" s="19">
        <v>0</v>
      </c>
      <c r="G7" s="17">
        <v>0</v>
      </c>
      <c r="H7" s="17">
        <v>0</v>
      </c>
      <c r="I7" s="19">
        <v>0</v>
      </c>
      <c r="J7" s="17">
        <v>0</v>
      </c>
      <c r="K7" s="17">
        <v>0</v>
      </c>
      <c r="L7" s="19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9">
        <v>0</v>
      </c>
      <c r="T7" s="17">
        <v>0</v>
      </c>
      <c r="U7" s="17">
        <v>0</v>
      </c>
      <c r="V7" s="19">
        <v>0</v>
      </c>
      <c r="W7" s="19">
        <v>0</v>
      </c>
      <c r="X7" s="17"/>
      <c r="Y7" s="17"/>
      <c r="Z7" s="17"/>
    </row>
    <row r="8" spans="1:39" s="6" customFormat="1" ht="15.75" x14ac:dyDescent="0.25">
      <c r="A8" s="11">
        <v>35</v>
      </c>
      <c r="B8" s="17">
        <v>0</v>
      </c>
      <c r="C8" s="19">
        <v>0</v>
      </c>
      <c r="D8" s="17">
        <v>0</v>
      </c>
      <c r="E8" s="17">
        <v>0</v>
      </c>
      <c r="F8" s="19">
        <v>0</v>
      </c>
      <c r="G8" s="17">
        <v>0</v>
      </c>
      <c r="H8" s="17">
        <v>0</v>
      </c>
      <c r="I8" s="19">
        <v>0</v>
      </c>
      <c r="J8" s="17">
        <v>0</v>
      </c>
      <c r="K8" s="17">
        <v>0</v>
      </c>
      <c r="L8" s="19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9">
        <v>0</v>
      </c>
      <c r="T8" s="17">
        <v>0</v>
      </c>
      <c r="U8" s="17">
        <v>0</v>
      </c>
      <c r="V8" s="19">
        <v>0</v>
      </c>
      <c r="W8" s="19">
        <v>0</v>
      </c>
      <c r="X8" s="17"/>
      <c r="Y8" s="17"/>
      <c r="Z8" s="17"/>
    </row>
    <row r="9" spans="1:39" s="6" customFormat="1" ht="15.75" x14ac:dyDescent="0.25">
      <c r="A9" s="11">
        <v>40</v>
      </c>
      <c r="B9" s="17">
        <v>0</v>
      </c>
      <c r="C9" s="19">
        <v>0</v>
      </c>
      <c r="D9" s="17">
        <v>0</v>
      </c>
      <c r="E9" s="17">
        <v>0</v>
      </c>
      <c r="F9" s="19">
        <v>0</v>
      </c>
      <c r="G9" s="17">
        <v>0</v>
      </c>
      <c r="H9" s="17">
        <v>0</v>
      </c>
      <c r="I9" s="19">
        <v>0</v>
      </c>
      <c r="J9" s="17">
        <v>0</v>
      </c>
      <c r="K9" s="17">
        <v>0</v>
      </c>
      <c r="L9" s="19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9">
        <v>0</v>
      </c>
      <c r="T9" s="17">
        <v>0</v>
      </c>
      <c r="U9" s="17">
        <v>0</v>
      </c>
      <c r="V9" s="19">
        <v>0</v>
      </c>
      <c r="W9" s="19">
        <v>0</v>
      </c>
      <c r="X9" s="17"/>
      <c r="Y9" s="17"/>
      <c r="Z9" s="17"/>
    </row>
    <row r="10" spans="1:39" s="6" customFormat="1" ht="15.75" x14ac:dyDescent="0.25">
      <c r="A10" s="11">
        <v>45</v>
      </c>
      <c r="B10" s="17">
        <v>0</v>
      </c>
      <c r="C10" s="19">
        <v>0</v>
      </c>
      <c r="D10" s="17">
        <v>0</v>
      </c>
      <c r="E10" s="17">
        <v>0</v>
      </c>
      <c r="F10" s="19">
        <v>0</v>
      </c>
      <c r="G10" s="17">
        <v>0</v>
      </c>
      <c r="H10" s="17">
        <v>0</v>
      </c>
      <c r="I10" s="19">
        <v>0</v>
      </c>
      <c r="J10" s="17">
        <v>0</v>
      </c>
      <c r="K10" s="17">
        <v>0</v>
      </c>
      <c r="L10" s="19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9">
        <v>0</v>
      </c>
      <c r="T10" s="17">
        <v>0</v>
      </c>
      <c r="U10" s="17">
        <v>0</v>
      </c>
      <c r="V10" s="19">
        <v>0</v>
      </c>
      <c r="W10" s="19">
        <v>0</v>
      </c>
      <c r="X10" s="17"/>
      <c r="Y10" s="17"/>
      <c r="Z10" s="17"/>
    </row>
    <row r="11" spans="1:39" s="6" customFormat="1" ht="15.75" x14ac:dyDescent="0.25">
      <c r="A11" s="11">
        <v>50</v>
      </c>
      <c r="B11" s="17">
        <v>0</v>
      </c>
      <c r="C11" s="19">
        <v>0</v>
      </c>
      <c r="D11" s="17">
        <v>0</v>
      </c>
      <c r="E11" s="17">
        <v>0</v>
      </c>
      <c r="F11" s="19">
        <v>0</v>
      </c>
      <c r="G11" s="17">
        <v>0</v>
      </c>
      <c r="H11" s="17">
        <v>0</v>
      </c>
      <c r="I11" s="19">
        <v>0</v>
      </c>
      <c r="J11" s="17">
        <v>0</v>
      </c>
      <c r="K11" s="17">
        <v>0</v>
      </c>
      <c r="L11" s="19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9">
        <v>0</v>
      </c>
      <c r="T11" s="17">
        <v>0</v>
      </c>
      <c r="U11" s="17">
        <v>0</v>
      </c>
      <c r="V11" s="19">
        <v>0</v>
      </c>
      <c r="W11" s="19">
        <v>0</v>
      </c>
      <c r="X11" s="17"/>
      <c r="Y11" s="17"/>
      <c r="Z11" s="17"/>
    </row>
    <row r="12" spans="1:39" s="6" customFormat="1" ht="15.75" x14ac:dyDescent="0.25">
      <c r="A12" s="11">
        <v>55</v>
      </c>
      <c r="B12" s="17">
        <v>0</v>
      </c>
      <c r="C12" s="19">
        <v>0</v>
      </c>
      <c r="D12" s="17">
        <v>0</v>
      </c>
      <c r="E12" s="17">
        <v>0</v>
      </c>
      <c r="F12" s="19">
        <v>0</v>
      </c>
      <c r="G12" s="17">
        <v>0</v>
      </c>
      <c r="H12" s="17">
        <v>0</v>
      </c>
      <c r="I12" s="19">
        <v>0</v>
      </c>
      <c r="J12" s="17">
        <v>0</v>
      </c>
      <c r="K12" s="17">
        <v>0</v>
      </c>
      <c r="L12" s="19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9">
        <v>0</v>
      </c>
      <c r="T12" s="17">
        <v>0</v>
      </c>
      <c r="U12" s="17">
        <v>0</v>
      </c>
      <c r="V12" s="19">
        <v>0</v>
      </c>
      <c r="W12" s="19">
        <v>0</v>
      </c>
      <c r="X12" s="17"/>
      <c r="Y12" s="17"/>
      <c r="Z12" s="17"/>
    </row>
    <row r="13" spans="1:39" s="6" customFormat="1" ht="15.75" x14ac:dyDescent="0.25">
      <c r="A13" s="11">
        <v>60</v>
      </c>
      <c r="B13" s="17">
        <v>0</v>
      </c>
      <c r="C13" s="19">
        <v>0</v>
      </c>
      <c r="D13" s="17">
        <v>0</v>
      </c>
      <c r="E13" s="17">
        <v>0</v>
      </c>
      <c r="F13" s="19">
        <v>0</v>
      </c>
      <c r="G13" s="17">
        <v>0</v>
      </c>
      <c r="H13" s="17">
        <v>0</v>
      </c>
      <c r="I13" s="19">
        <v>0</v>
      </c>
      <c r="J13" s="17">
        <v>0</v>
      </c>
      <c r="K13" s="17">
        <v>0</v>
      </c>
      <c r="L13" s="19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9">
        <v>0</v>
      </c>
      <c r="T13" s="17">
        <v>0</v>
      </c>
      <c r="U13" s="17">
        <v>0</v>
      </c>
      <c r="V13" s="19">
        <v>0</v>
      </c>
      <c r="W13" s="19">
        <v>0</v>
      </c>
      <c r="X13" s="17"/>
      <c r="Y13" s="17"/>
      <c r="Z13" s="17"/>
    </row>
    <row r="14" spans="1:39" s="6" customFormat="1" ht="15.75" x14ac:dyDescent="0.25">
      <c r="A14" s="11">
        <v>65</v>
      </c>
      <c r="B14" s="17">
        <v>0</v>
      </c>
      <c r="C14" s="19">
        <v>0</v>
      </c>
      <c r="D14" s="17">
        <v>0</v>
      </c>
      <c r="E14" s="17">
        <v>0</v>
      </c>
      <c r="F14" s="19">
        <v>0</v>
      </c>
      <c r="G14" s="17">
        <v>0</v>
      </c>
      <c r="H14" s="17">
        <v>0</v>
      </c>
      <c r="I14" s="19">
        <v>0</v>
      </c>
      <c r="J14" s="17">
        <v>0</v>
      </c>
      <c r="K14" s="17">
        <v>0</v>
      </c>
      <c r="L14" s="19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9">
        <v>0</v>
      </c>
      <c r="T14" s="17">
        <v>0</v>
      </c>
      <c r="U14" s="17">
        <v>0</v>
      </c>
      <c r="V14" s="19">
        <v>0</v>
      </c>
      <c r="W14" s="19">
        <v>0</v>
      </c>
      <c r="X14" s="17"/>
      <c r="Y14" s="17"/>
      <c r="Z14" s="17"/>
    </row>
    <row r="15" spans="1:39" s="6" customFormat="1" ht="15.75" x14ac:dyDescent="0.25">
      <c r="A15" s="11">
        <v>70</v>
      </c>
      <c r="B15" s="17">
        <v>0</v>
      </c>
      <c r="C15" s="19">
        <v>0</v>
      </c>
      <c r="D15" s="17">
        <v>0</v>
      </c>
      <c r="E15" s="17">
        <v>0</v>
      </c>
      <c r="F15" s="19">
        <v>0</v>
      </c>
      <c r="G15" s="17">
        <v>0</v>
      </c>
      <c r="H15" s="17">
        <v>0</v>
      </c>
      <c r="I15" s="19">
        <v>0</v>
      </c>
      <c r="J15" s="17">
        <v>0</v>
      </c>
      <c r="K15" s="17">
        <v>0</v>
      </c>
      <c r="L15" s="19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9">
        <v>0</v>
      </c>
      <c r="T15" s="17">
        <v>0</v>
      </c>
      <c r="U15" s="17">
        <v>0</v>
      </c>
      <c r="V15" s="19">
        <v>0</v>
      </c>
      <c r="W15" s="19">
        <v>0</v>
      </c>
      <c r="X15" s="17"/>
      <c r="Y15" s="17"/>
      <c r="Z15" s="17"/>
    </row>
    <row r="16" spans="1:39" s="6" customFormat="1" ht="15.75" x14ac:dyDescent="0.25">
      <c r="A16" s="11">
        <v>75</v>
      </c>
      <c r="B16" s="17">
        <v>0</v>
      </c>
      <c r="C16" s="19">
        <v>0</v>
      </c>
      <c r="D16" s="17">
        <v>0</v>
      </c>
      <c r="E16" s="17">
        <v>0</v>
      </c>
      <c r="F16" s="19">
        <v>0</v>
      </c>
      <c r="G16" s="17">
        <v>0</v>
      </c>
      <c r="H16" s="17">
        <v>0</v>
      </c>
      <c r="I16" s="19">
        <v>0</v>
      </c>
      <c r="J16" s="17">
        <v>0</v>
      </c>
      <c r="K16" s="17">
        <v>0</v>
      </c>
      <c r="L16" s="19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9">
        <v>0</v>
      </c>
      <c r="T16" s="17">
        <v>0</v>
      </c>
      <c r="U16" s="17">
        <v>0</v>
      </c>
      <c r="V16" s="19">
        <v>0</v>
      </c>
      <c r="W16" s="19">
        <v>0</v>
      </c>
      <c r="X16" s="17"/>
      <c r="Y16" s="17"/>
      <c r="Z16" s="17"/>
    </row>
    <row r="17" spans="1:26" s="6" customFormat="1" ht="15.75" x14ac:dyDescent="0.25">
      <c r="A17" s="11">
        <v>80</v>
      </c>
      <c r="B17" s="17">
        <v>0</v>
      </c>
      <c r="C17" s="19">
        <v>0</v>
      </c>
      <c r="D17" s="17">
        <v>0</v>
      </c>
      <c r="E17" s="17">
        <v>0</v>
      </c>
      <c r="F17" s="19">
        <v>0</v>
      </c>
      <c r="G17" s="17">
        <v>0</v>
      </c>
      <c r="H17" s="17">
        <v>0</v>
      </c>
      <c r="I17" s="19">
        <v>0</v>
      </c>
      <c r="J17" s="17">
        <v>0</v>
      </c>
      <c r="K17" s="17">
        <v>0</v>
      </c>
      <c r="L17" s="19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9">
        <v>0</v>
      </c>
      <c r="T17" s="17">
        <v>0</v>
      </c>
      <c r="U17" s="17">
        <v>0</v>
      </c>
      <c r="V17" s="19">
        <v>0</v>
      </c>
      <c r="W17" s="19">
        <v>0</v>
      </c>
      <c r="X17" s="17"/>
      <c r="Y17" s="17"/>
      <c r="Z17" s="17"/>
    </row>
    <row r="18" spans="1:26" s="6" customFormat="1" ht="15.75" x14ac:dyDescent="0.25">
      <c r="A18" s="11">
        <v>85</v>
      </c>
      <c r="B18" s="17">
        <v>0</v>
      </c>
      <c r="C18" s="19">
        <v>0</v>
      </c>
      <c r="D18" s="17">
        <v>0</v>
      </c>
      <c r="E18" s="17">
        <v>0</v>
      </c>
      <c r="F18" s="19">
        <v>0</v>
      </c>
      <c r="G18" s="17">
        <v>0</v>
      </c>
      <c r="H18" s="17">
        <v>0</v>
      </c>
      <c r="I18" s="19">
        <v>0</v>
      </c>
      <c r="J18" s="17">
        <v>0</v>
      </c>
      <c r="K18" s="17">
        <v>0</v>
      </c>
      <c r="L18" s="19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9">
        <v>0</v>
      </c>
      <c r="T18" s="17">
        <v>0</v>
      </c>
      <c r="U18" s="17">
        <v>0</v>
      </c>
      <c r="V18" s="19">
        <v>0</v>
      </c>
      <c r="W18" s="19">
        <v>0</v>
      </c>
      <c r="X18" s="17"/>
      <c r="Y18" s="17"/>
      <c r="Z18" s="17"/>
    </row>
    <row r="19" spans="1:26" s="6" customFormat="1" ht="15.75" x14ac:dyDescent="0.25">
      <c r="A19" s="20">
        <v>90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17"/>
      <c r="Y19" s="17"/>
      <c r="Z19" s="17"/>
    </row>
    <row r="20" spans="1:26" s="6" customFormat="1" ht="15.75" x14ac:dyDescent="0.25">
      <c r="A20" s="11">
        <v>95</v>
      </c>
      <c r="B20" s="17">
        <v>0</v>
      </c>
      <c r="C20" s="24">
        <f t="shared" ref="C20:C31" si="0">($B$1+C$3)*(1-TAN(RADIANS(180-$A20)/2))/TAN(RADIANS(180-$A20)/2)</f>
        <v>0.19174785224546997</v>
      </c>
      <c r="D20" s="17">
        <v>0</v>
      </c>
      <c r="E20" s="17">
        <v>0</v>
      </c>
      <c r="F20" s="24">
        <f t="shared" ref="F20:F31" si="1">($B$1+F$3)*(1-TAN(RADIANS(180-$A20)/2))/TAN(RADIANS(180-$A20)/2)</f>
        <v>0.21914040256625139</v>
      </c>
      <c r="G20" s="17">
        <v>0</v>
      </c>
      <c r="H20" s="17">
        <v>0</v>
      </c>
      <c r="I20" s="24">
        <f t="shared" ref="I20:I31" si="2">($B$1+I$3)*(1-TAN(RADIANS(180-$A20)/2))/TAN(RADIANS(180-$A20)/2)</f>
        <v>0.26479465310088712</v>
      </c>
      <c r="J20" s="17">
        <v>0</v>
      </c>
      <c r="K20" s="17">
        <v>0</v>
      </c>
      <c r="L20" s="24">
        <f t="shared" ref="L20:L31" si="3">($B$1+L$3)*(1-TAN(RADIANS(180-$A20)/2))/TAN(RADIANS(180-$A20)/2)</f>
        <v>0.31957975374244996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24">
        <f t="shared" ref="S20:S31" si="4">($B$1+S$3)*(1-TAN(RADIANS(180-$A20)/2))/TAN(RADIANS(180-$A20)/2)</f>
        <v>0.42914995502557562</v>
      </c>
      <c r="T20" s="17">
        <v>0</v>
      </c>
      <c r="U20" s="17">
        <v>0</v>
      </c>
      <c r="V20" s="24">
        <f t="shared" ref="V20:W31" si="5">($B$1+V$3)*(1-TAN(RADIANS(180-$A20)/2))/TAN(RADIANS(180-$A20)/2)</f>
        <v>0.50219675588099277</v>
      </c>
      <c r="W20" s="24">
        <f t="shared" si="5"/>
        <v>0.59350525695026424</v>
      </c>
      <c r="X20" s="17"/>
      <c r="Y20" s="17"/>
      <c r="Z20" s="17"/>
    </row>
    <row r="21" spans="1:26" s="6" customFormat="1" ht="15.75" x14ac:dyDescent="0.25">
      <c r="A21" s="11">
        <v>100</v>
      </c>
      <c r="B21" s="17">
        <v>0</v>
      </c>
      <c r="C21" s="24">
        <f t="shared" si="0"/>
        <v>0.40268254444784118</v>
      </c>
      <c r="D21" s="17">
        <v>0</v>
      </c>
      <c r="E21" s="17">
        <v>0</v>
      </c>
      <c r="F21" s="24">
        <f t="shared" si="1"/>
        <v>0.4602086222261042</v>
      </c>
      <c r="G21" s="17">
        <v>0</v>
      </c>
      <c r="H21" s="17">
        <v>0</v>
      </c>
      <c r="I21" s="24">
        <f t="shared" si="2"/>
        <v>0.55608541852320925</v>
      </c>
      <c r="J21" s="17">
        <v>0</v>
      </c>
      <c r="K21" s="17">
        <v>0</v>
      </c>
      <c r="L21" s="24">
        <f t="shared" si="3"/>
        <v>0.67113757407973518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24">
        <f t="shared" si="4"/>
        <v>0.90124188519278747</v>
      </c>
      <c r="T21" s="17">
        <v>0</v>
      </c>
      <c r="U21" s="17">
        <v>0</v>
      </c>
      <c r="V21" s="24">
        <f t="shared" si="5"/>
        <v>1.0546447592681554</v>
      </c>
      <c r="W21" s="24">
        <f t="shared" si="5"/>
        <v>1.2463983518623656</v>
      </c>
      <c r="X21" s="17"/>
      <c r="Y21" s="17"/>
      <c r="Z21" s="17"/>
    </row>
    <row r="22" spans="1:26" s="6" customFormat="1" ht="15.75" x14ac:dyDescent="0.25">
      <c r="A22" s="11">
        <v>105</v>
      </c>
      <c r="B22" s="17">
        <v>0</v>
      </c>
      <c r="C22" s="24">
        <f t="shared" si="0"/>
        <v>0.63677328296653202</v>
      </c>
      <c r="D22" s="17">
        <v>0</v>
      </c>
      <c r="E22" s="17">
        <v>0</v>
      </c>
      <c r="F22" s="24">
        <f t="shared" si="1"/>
        <v>0.7277408948188937</v>
      </c>
      <c r="G22" s="17">
        <v>0</v>
      </c>
      <c r="H22" s="17">
        <v>0</v>
      </c>
      <c r="I22" s="24">
        <f t="shared" si="2"/>
        <v>0.87935358123949658</v>
      </c>
      <c r="J22" s="17">
        <v>0</v>
      </c>
      <c r="K22" s="17">
        <v>0</v>
      </c>
      <c r="L22" s="24">
        <f t="shared" si="3"/>
        <v>1.06128880494422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24">
        <f t="shared" si="4"/>
        <v>1.4251592523536669</v>
      </c>
      <c r="T22" s="17">
        <v>0</v>
      </c>
      <c r="U22" s="17">
        <v>0</v>
      </c>
      <c r="V22" s="24">
        <f t="shared" si="5"/>
        <v>1.6677395506266315</v>
      </c>
      <c r="W22" s="24">
        <f t="shared" si="5"/>
        <v>1.970964923467837</v>
      </c>
      <c r="X22" s="17"/>
      <c r="Y22" s="17"/>
      <c r="Z22" s="17"/>
    </row>
    <row r="23" spans="1:26" s="6" customFormat="1" ht="15.75" x14ac:dyDescent="0.25">
      <c r="A23" s="11">
        <v>110</v>
      </c>
      <c r="B23" s="17">
        <v>0</v>
      </c>
      <c r="C23" s="24">
        <f t="shared" si="0"/>
        <v>0.89911081415844074</v>
      </c>
      <c r="D23" s="17">
        <v>0</v>
      </c>
      <c r="E23" s="17">
        <v>0</v>
      </c>
      <c r="F23" s="24">
        <f t="shared" si="1"/>
        <v>1.027555216181075</v>
      </c>
      <c r="G23" s="17">
        <v>0</v>
      </c>
      <c r="H23" s="17">
        <v>0</v>
      </c>
      <c r="I23" s="24">
        <f t="shared" si="2"/>
        <v>1.2416292195521323</v>
      </c>
      <c r="J23" s="17">
        <v>0</v>
      </c>
      <c r="K23" s="17">
        <v>0</v>
      </c>
      <c r="L23" s="24">
        <f t="shared" si="3"/>
        <v>1.4985180235974012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24">
        <f t="shared" si="4"/>
        <v>2.0122956316879388</v>
      </c>
      <c r="T23" s="17">
        <v>0</v>
      </c>
      <c r="U23" s="17">
        <v>0</v>
      </c>
      <c r="V23" s="24">
        <f t="shared" si="5"/>
        <v>2.3548140370816304</v>
      </c>
      <c r="W23" s="24">
        <f t="shared" si="5"/>
        <v>2.7829620438237455</v>
      </c>
      <c r="X23" s="17"/>
      <c r="Y23" s="17"/>
      <c r="Z23" s="17"/>
    </row>
    <row r="24" spans="1:26" s="6" customFormat="1" ht="15.75" x14ac:dyDescent="0.25">
      <c r="A24" s="11">
        <v>115</v>
      </c>
      <c r="B24" s="17">
        <v>0</v>
      </c>
      <c r="C24" s="24">
        <f t="shared" si="0"/>
        <v>1.1963397119467296</v>
      </c>
      <c r="D24" s="17">
        <v>0</v>
      </c>
      <c r="E24" s="17">
        <v>0</v>
      </c>
      <c r="F24" s="24">
        <f t="shared" si="1"/>
        <v>1.3672453850819768</v>
      </c>
      <c r="G24" s="17">
        <v>0</v>
      </c>
      <c r="H24" s="17">
        <v>0</v>
      </c>
      <c r="I24" s="24">
        <f t="shared" si="2"/>
        <v>1.6520881736407218</v>
      </c>
      <c r="J24" s="17">
        <v>0</v>
      </c>
      <c r="K24" s="17">
        <v>0</v>
      </c>
      <c r="L24" s="24">
        <f t="shared" si="3"/>
        <v>1.9938995199112162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24">
        <f t="shared" si="4"/>
        <v>2.6775222124522045</v>
      </c>
      <c r="T24" s="17">
        <v>0</v>
      </c>
      <c r="U24" s="17">
        <v>0</v>
      </c>
      <c r="V24" s="24">
        <f t="shared" si="5"/>
        <v>3.1332706741461966</v>
      </c>
      <c r="W24" s="24">
        <f t="shared" si="5"/>
        <v>3.7029562512636867</v>
      </c>
      <c r="X24" s="17"/>
      <c r="Y24" s="17"/>
      <c r="Z24" s="17"/>
    </row>
    <row r="25" spans="1:26" s="6" customFormat="1" ht="15.75" x14ac:dyDescent="0.25">
      <c r="A25" s="11">
        <v>120</v>
      </c>
      <c r="B25" s="17">
        <v>0</v>
      </c>
      <c r="C25" s="24">
        <f t="shared" si="0"/>
        <v>1.5373066958946426</v>
      </c>
      <c r="D25" s="17">
        <v>0</v>
      </c>
      <c r="E25" s="17">
        <v>0</v>
      </c>
      <c r="F25" s="24">
        <f t="shared" si="1"/>
        <v>1.7569219381653058</v>
      </c>
      <c r="G25" s="17">
        <v>0</v>
      </c>
      <c r="H25" s="17">
        <v>0</v>
      </c>
      <c r="I25" s="24">
        <f t="shared" si="2"/>
        <v>2.1229473419497444</v>
      </c>
      <c r="J25" s="17">
        <v>0</v>
      </c>
      <c r="K25" s="17">
        <v>0</v>
      </c>
      <c r="L25" s="24">
        <f t="shared" si="3"/>
        <v>2.5621778264910708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24">
        <f t="shared" si="4"/>
        <v>3.4406387955737241</v>
      </c>
      <c r="T25" s="17">
        <v>0</v>
      </c>
      <c r="U25" s="17">
        <v>0</v>
      </c>
      <c r="V25" s="24">
        <f t="shared" si="5"/>
        <v>4.0262794416288257</v>
      </c>
      <c r="W25" s="24">
        <f t="shared" si="5"/>
        <v>4.7583302491977024</v>
      </c>
      <c r="X25" s="17"/>
      <c r="Y25" s="17"/>
      <c r="Z25" s="17"/>
    </row>
    <row r="26" spans="1:26" s="6" customFormat="1" ht="15.75" x14ac:dyDescent="0.25">
      <c r="A26" s="11">
        <v>125</v>
      </c>
      <c r="B26" s="17">
        <v>0</v>
      </c>
      <c r="C26" s="24">
        <f t="shared" si="0"/>
        <v>1.934062466639449</v>
      </c>
      <c r="D26" s="17">
        <v>0</v>
      </c>
      <c r="E26" s="17">
        <v>0</v>
      </c>
      <c r="F26" s="24">
        <f t="shared" si="1"/>
        <v>2.2103571047307984</v>
      </c>
      <c r="G26" s="17">
        <v>0</v>
      </c>
      <c r="H26" s="17">
        <v>0</v>
      </c>
      <c r="I26" s="24">
        <f t="shared" si="2"/>
        <v>2.6708481682163816</v>
      </c>
      <c r="J26" s="17">
        <v>0</v>
      </c>
      <c r="K26" s="17">
        <v>0</v>
      </c>
      <c r="L26" s="24">
        <f t="shared" si="3"/>
        <v>3.2234374443990812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24">
        <f t="shared" si="4"/>
        <v>4.3286159967644808</v>
      </c>
      <c r="T26" s="17">
        <v>0</v>
      </c>
      <c r="U26" s="17">
        <v>0</v>
      </c>
      <c r="V26" s="24">
        <f t="shared" si="5"/>
        <v>5.0654016983414127</v>
      </c>
      <c r="W26" s="24">
        <f t="shared" si="5"/>
        <v>5.9863838253125792</v>
      </c>
      <c r="X26" s="17"/>
      <c r="Y26" s="17"/>
      <c r="Z26" s="17"/>
    </row>
    <row r="27" spans="1:26" s="6" customFormat="1" ht="15.75" x14ac:dyDescent="0.25">
      <c r="A27" s="11">
        <v>130</v>
      </c>
      <c r="B27" s="17">
        <v>0</v>
      </c>
      <c r="C27" s="24">
        <f t="shared" si="0"/>
        <v>2.4034645330700735</v>
      </c>
      <c r="D27" s="17">
        <v>0</v>
      </c>
      <c r="E27" s="17">
        <v>0</v>
      </c>
      <c r="F27" s="24">
        <f t="shared" si="1"/>
        <v>2.7468166092229409</v>
      </c>
      <c r="G27" s="17">
        <v>0</v>
      </c>
      <c r="H27" s="17">
        <v>0</v>
      </c>
      <c r="I27" s="24">
        <f t="shared" si="2"/>
        <v>3.3190700694777204</v>
      </c>
      <c r="J27" s="17">
        <v>0</v>
      </c>
      <c r="K27" s="17">
        <v>0</v>
      </c>
      <c r="L27" s="24">
        <f t="shared" si="3"/>
        <v>4.0057742217834553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24">
        <f t="shared" si="4"/>
        <v>5.3791825263949269</v>
      </c>
      <c r="T27" s="17">
        <v>0</v>
      </c>
      <c r="U27" s="17">
        <v>0</v>
      </c>
      <c r="V27" s="24">
        <f t="shared" si="5"/>
        <v>6.2947880628025734</v>
      </c>
      <c r="W27" s="24">
        <f t="shared" si="5"/>
        <v>7.4392949833121325</v>
      </c>
      <c r="X27" s="17"/>
      <c r="Y27" s="17"/>
      <c r="Z27" s="17"/>
    </row>
    <row r="28" spans="1:26" s="6" customFormat="1" ht="15.75" x14ac:dyDescent="0.25">
      <c r="A28" s="11">
        <v>135</v>
      </c>
      <c r="B28" s="17">
        <v>0</v>
      </c>
      <c r="C28" s="24">
        <f t="shared" si="0"/>
        <v>2.9698484809835</v>
      </c>
      <c r="D28" s="17">
        <v>0</v>
      </c>
      <c r="E28" s="17">
        <v>0</v>
      </c>
      <c r="F28" s="24">
        <f t="shared" si="1"/>
        <v>3.3941125496954285</v>
      </c>
      <c r="G28" s="17">
        <v>0</v>
      </c>
      <c r="H28" s="17">
        <v>0</v>
      </c>
      <c r="I28" s="24">
        <f t="shared" si="2"/>
        <v>4.1012193308819755</v>
      </c>
      <c r="J28" s="17">
        <v>0</v>
      </c>
      <c r="K28" s="17">
        <v>0</v>
      </c>
      <c r="L28" s="24">
        <f t="shared" si="3"/>
        <v>4.9497474683058327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24">
        <f t="shared" si="4"/>
        <v>6.6468037431535469</v>
      </c>
      <c r="T28" s="17">
        <v>0</v>
      </c>
      <c r="U28" s="17">
        <v>0</v>
      </c>
      <c r="V28" s="24">
        <f t="shared" si="5"/>
        <v>7.7781745930520234</v>
      </c>
      <c r="W28" s="24">
        <f t="shared" si="5"/>
        <v>9.1923881554251174</v>
      </c>
      <c r="X28" s="17"/>
      <c r="Y28" s="17"/>
      <c r="Z28" s="17"/>
    </row>
    <row r="29" spans="1:26" s="6" customFormat="1" ht="15.75" x14ac:dyDescent="0.25">
      <c r="A29" s="11">
        <v>140</v>
      </c>
      <c r="B29" s="17">
        <v>0</v>
      </c>
      <c r="C29" s="24">
        <f t="shared" si="0"/>
        <v>3.6697025808547075</v>
      </c>
      <c r="D29" s="17">
        <v>0</v>
      </c>
      <c r="E29" s="17">
        <v>0</v>
      </c>
      <c r="F29" s="24">
        <f t="shared" si="1"/>
        <v>4.1939458066910937</v>
      </c>
      <c r="G29" s="17">
        <v>0</v>
      </c>
      <c r="H29" s="17">
        <v>0</v>
      </c>
      <c r="I29" s="24">
        <f t="shared" si="2"/>
        <v>5.0676845164184048</v>
      </c>
      <c r="J29" s="17">
        <v>0</v>
      </c>
      <c r="K29" s="17">
        <v>0</v>
      </c>
      <c r="L29" s="24">
        <f t="shared" si="3"/>
        <v>6.1161709680911782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24">
        <f t="shared" si="4"/>
        <v>8.213143871436726</v>
      </c>
      <c r="T29" s="17">
        <v>0</v>
      </c>
      <c r="U29" s="17">
        <v>0</v>
      </c>
      <c r="V29" s="24">
        <f t="shared" si="5"/>
        <v>9.6111258070004233</v>
      </c>
      <c r="W29" s="24">
        <f t="shared" si="5"/>
        <v>11.358603226455045</v>
      </c>
      <c r="X29" s="17"/>
      <c r="Y29" s="17"/>
      <c r="Z29" s="17"/>
    </row>
    <row r="30" spans="1:26" s="6" customFormat="1" ht="15.75" x14ac:dyDescent="0.25">
      <c r="A30" s="11">
        <v>145</v>
      </c>
      <c r="B30" s="17">
        <v>0</v>
      </c>
      <c r="C30" s="24">
        <f t="shared" si="0"/>
        <v>4.5603490849627466</v>
      </c>
      <c r="D30" s="17">
        <v>0</v>
      </c>
      <c r="E30" s="17">
        <v>0</v>
      </c>
      <c r="F30" s="24">
        <f t="shared" si="1"/>
        <v>5.2118275256717101</v>
      </c>
      <c r="G30" s="17">
        <v>0</v>
      </c>
      <c r="H30" s="17">
        <v>0</v>
      </c>
      <c r="I30" s="24">
        <f t="shared" si="2"/>
        <v>6.2976249268533167</v>
      </c>
      <c r="J30" s="17">
        <v>0</v>
      </c>
      <c r="K30" s="17">
        <v>0</v>
      </c>
      <c r="L30" s="24">
        <f t="shared" si="3"/>
        <v>7.6005818082712446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24">
        <f t="shared" si="4"/>
        <v>10.2064955711071</v>
      </c>
      <c r="T30" s="17">
        <v>0</v>
      </c>
      <c r="U30" s="17">
        <v>0</v>
      </c>
      <c r="V30" s="24">
        <f t="shared" si="5"/>
        <v>11.94377141299767</v>
      </c>
      <c r="W30" s="24">
        <f t="shared" si="5"/>
        <v>14.115366215360883</v>
      </c>
      <c r="X30" s="17"/>
      <c r="Y30" s="17"/>
      <c r="Z30" s="17"/>
    </row>
    <row r="31" spans="1:26" s="6" customFormat="1" ht="15.75" x14ac:dyDescent="0.25">
      <c r="A31" s="11">
        <v>150</v>
      </c>
      <c r="B31" s="17">
        <v>0</v>
      </c>
      <c r="C31" s="24">
        <f t="shared" si="0"/>
        <v>5.7373066958946426</v>
      </c>
      <c r="D31" s="17">
        <v>0</v>
      </c>
      <c r="E31" s="17">
        <v>0</v>
      </c>
      <c r="F31" s="24">
        <f t="shared" si="1"/>
        <v>6.5569219381653054</v>
      </c>
      <c r="G31" s="17">
        <v>0</v>
      </c>
      <c r="H31" s="17">
        <v>0</v>
      </c>
      <c r="I31" s="24">
        <f t="shared" si="2"/>
        <v>7.9229473419497438</v>
      </c>
      <c r="J31" s="17">
        <v>0</v>
      </c>
      <c r="K31" s="17">
        <v>0</v>
      </c>
      <c r="L31" s="24">
        <f t="shared" si="3"/>
        <v>9.5621778264910713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24">
        <f t="shared" si="4"/>
        <v>12.840638795573724</v>
      </c>
      <c r="T31" s="17">
        <v>0</v>
      </c>
      <c r="U31" s="17">
        <v>0</v>
      </c>
      <c r="V31" s="24">
        <f t="shared" si="5"/>
        <v>15.026279441628825</v>
      </c>
      <c r="W31" s="24">
        <f t="shared" si="5"/>
        <v>17.758330249197702</v>
      </c>
      <c r="X31" s="17"/>
      <c r="Y31" s="17"/>
      <c r="Z31" s="17"/>
    </row>
    <row r="32" spans="1:26" s="6" customFormat="1" ht="16.5" thickBot="1" x14ac:dyDescent="0.3">
      <c r="A32" s="11" t="s">
        <v>9</v>
      </c>
      <c r="B32" s="6" t="s">
        <v>9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7"/>
      <c r="Y32" s="17"/>
      <c r="Z32" s="17"/>
    </row>
    <row r="33" spans="1:39" s="5" customFormat="1" ht="16.5" thickBot="1" x14ac:dyDescent="0.3">
      <c r="A33" s="8" t="s">
        <v>5</v>
      </c>
      <c r="B33" s="16">
        <v>1.2</v>
      </c>
      <c r="C33" s="22"/>
      <c r="X33" s="27"/>
      <c r="Y33" s="27"/>
      <c r="Z33" s="27"/>
    </row>
    <row r="34" spans="1:39" s="6" customFormat="1" ht="16.5" thickBot="1" x14ac:dyDescent="0.25">
      <c r="A34" s="114" t="s">
        <v>6</v>
      </c>
      <c r="B34" s="116" t="s">
        <v>7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25"/>
      <c r="O34" s="125"/>
      <c r="P34" s="125"/>
      <c r="Q34" s="125"/>
      <c r="R34" s="125"/>
      <c r="S34" s="125"/>
      <c r="T34" s="125"/>
      <c r="U34" s="125"/>
      <c r="V34" s="125"/>
      <c r="W34" s="126"/>
      <c r="X34" s="17"/>
      <c r="Y34" s="17"/>
      <c r="Z34" s="17"/>
    </row>
    <row r="35" spans="1:39" s="10" customFormat="1" ht="16.5" thickBot="1" x14ac:dyDescent="0.3">
      <c r="A35" s="115"/>
      <c r="B35" s="23">
        <v>1</v>
      </c>
      <c r="C35" s="15">
        <v>1.1000000000000001</v>
      </c>
      <c r="D35" s="15">
        <v>1.2</v>
      </c>
      <c r="E35" s="23">
        <v>1.3</v>
      </c>
      <c r="F35" s="15">
        <v>1.4</v>
      </c>
      <c r="G35" s="18">
        <v>1.6</v>
      </c>
      <c r="H35" s="15">
        <v>1.7</v>
      </c>
      <c r="I35" s="15">
        <v>1.9</v>
      </c>
      <c r="J35" s="23">
        <v>2</v>
      </c>
      <c r="K35" s="15">
        <v>2.2999999999999998</v>
      </c>
      <c r="L35" s="15">
        <v>2.5</v>
      </c>
      <c r="M35" s="23">
        <v>2.6</v>
      </c>
      <c r="N35" s="15">
        <v>2.7</v>
      </c>
      <c r="O35" s="15">
        <v>3</v>
      </c>
      <c r="P35" s="15">
        <v>3.2</v>
      </c>
      <c r="Q35" s="15">
        <v>3.3</v>
      </c>
      <c r="R35" s="15">
        <v>3.4</v>
      </c>
      <c r="S35" s="15">
        <v>3.7</v>
      </c>
      <c r="T35" s="15">
        <v>3.9</v>
      </c>
      <c r="U35" s="15">
        <v>4.3</v>
      </c>
      <c r="V35" s="15">
        <v>4.5</v>
      </c>
      <c r="W35" s="15">
        <v>5.5</v>
      </c>
      <c r="X35" s="15"/>
      <c r="Y35" s="15"/>
      <c r="Z35" s="15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spans="1:39" s="6" customFormat="1" ht="15.75" x14ac:dyDescent="0.25">
      <c r="A36" s="11">
        <v>15</v>
      </c>
      <c r="B36" s="24">
        <v>0</v>
      </c>
      <c r="C36" s="17">
        <v>0</v>
      </c>
      <c r="D36" s="17">
        <v>0</v>
      </c>
      <c r="E36" s="24">
        <v>0</v>
      </c>
      <c r="F36" s="17">
        <v>0</v>
      </c>
      <c r="G36" s="24">
        <v>0</v>
      </c>
      <c r="H36" s="17">
        <v>0</v>
      </c>
      <c r="I36" s="17">
        <v>0</v>
      </c>
      <c r="J36" s="24">
        <v>0</v>
      </c>
      <c r="K36" s="17">
        <v>0</v>
      </c>
      <c r="L36" s="17">
        <v>0</v>
      </c>
      <c r="M36" s="24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/>
      <c r="Y36" s="17"/>
      <c r="Z36" s="17"/>
    </row>
    <row r="37" spans="1:39" s="6" customFormat="1" ht="15.75" x14ac:dyDescent="0.25">
      <c r="A37" s="11">
        <v>20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/>
      <c r="Y37" s="17"/>
      <c r="Z37" s="17"/>
    </row>
    <row r="38" spans="1:39" s="6" customFormat="1" ht="15.75" x14ac:dyDescent="0.25">
      <c r="A38" s="11">
        <v>25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/>
      <c r="Y38" s="17"/>
      <c r="Z38" s="17"/>
    </row>
    <row r="39" spans="1:39" s="6" customFormat="1" ht="15.75" x14ac:dyDescent="0.25">
      <c r="A39" s="11">
        <v>30</v>
      </c>
      <c r="B39" s="24">
        <v>0</v>
      </c>
      <c r="C39" s="17">
        <v>0</v>
      </c>
      <c r="D39" s="17">
        <v>0</v>
      </c>
      <c r="E39" s="24">
        <v>0</v>
      </c>
      <c r="F39" s="17">
        <v>0</v>
      </c>
      <c r="G39" s="24">
        <v>0</v>
      </c>
      <c r="H39" s="17">
        <v>0</v>
      </c>
      <c r="I39" s="17">
        <v>0</v>
      </c>
      <c r="J39" s="24">
        <v>0</v>
      </c>
      <c r="K39" s="17">
        <v>0</v>
      </c>
      <c r="L39" s="17">
        <v>0</v>
      </c>
      <c r="M39" s="24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/>
      <c r="Y39" s="17"/>
      <c r="Z39" s="17"/>
    </row>
    <row r="40" spans="1:39" s="6" customFormat="1" ht="15.75" x14ac:dyDescent="0.25">
      <c r="A40" s="11">
        <v>35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/>
      <c r="Y40" s="17"/>
      <c r="Z40" s="17"/>
    </row>
    <row r="41" spans="1:39" s="6" customFormat="1" ht="15.75" x14ac:dyDescent="0.25">
      <c r="A41" s="11">
        <v>40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/>
      <c r="Y41" s="17"/>
      <c r="Z41" s="17"/>
    </row>
    <row r="42" spans="1:39" s="6" customFormat="1" ht="15.75" x14ac:dyDescent="0.25">
      <c r="A42" s="11">
        <v>45</v>
      </c>
      <c r="B42" s="24">
        <v>0</v>
      </c>
      <c r="C42" s="17">
        <v>0</v>
      </c>
      <c r="D42" s="17">
        <v>0</v>
      </c>
      <c r="E42" s="24">
        <v>0</v>
      </c>
      <c r="F42" s="17">
        <v>0</v>
      </c>
      <c r="G42" s="24">
        <v>0</v>
      </c>
      <c r="H42" s="17">
        <v>0</v>
      </c>
      <c r="I42" s="17">
        <v>0</v>
      </c>
      <c r="J42" s="24">
        <v>0</v>
      </c>
      <c r="K42" s="17">
        <v>0</v>
      </c>
      <c r="L42" s="17">
        <v>0</v>
      </c>
      <c r="M42" s="24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/>
      <c r="Y42" s="17"/>
      <c r="Z42" s="17"/>
    </row>
    <row r="43" spans="1:39" s="6" customFormat="1" ht="15.75" x14ac:dyDescent="0.25">
      <c r="A43" s="11">
        <v>50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/>
      <c r="Y43" s="17"/>
      <c r="Z43" s="17"/>
    </row>
    <row r="44" spans="1:39" s="6" customFormat="1" ht="15.75" x14ac:dyDescent="0.25">
      <c r="A44" s="11">
        <v>55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/>
      <c r="Y44" s="17"/>
      <c r="Z44" s="17"/>
    </row>
    <row r="45" spans="1:39" s="6" customFormat="1" ht="15.75" x14ac:dyDescent="0.25">
      <c r="A45" s="11">
        <v>60</v>
      </c>
      <c r="B45" s="24">
        <v>0</v>
      </c>
      <c r="C45" s="17">
        <v>0</v>
      </c>
      <c r="D45" s="17">
        <v>0</v>
      </c>
      <c r="E45" s="24">
        <v>0</v>
      </c>
      <c r="F45" s="17">
        <v>0</v>
      </c>
      <c r="G45" s="24">
        <v>0</v>
      </c>
      <c r="H45" s="17">
        <v>0</v>
      </c>
      <c r="I45" s="17">
        <v>0</v>
      </c>
      <c r="J45" s="24">
        <v>0</v>
      </c>
      <c r="K45" s="17">
        <v>0</v>
      </c>
      <c r="L45" s="17">
        <v>0</v>
      </c>
      <c r="M45" s="24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/>
      <c r="Y45" s="17"/>
      <c r="Z45" s="17"/>
    </row>
    <row r="46" spans="1:39" s="6" customFormat="1" ht="15.75" x14ac:dyDescent="0.25">
      <c r="A46" s="11">
        <v>65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/>
      <c r="Y46" s="17"/>
      <c r="Z46" s="17"/>
    </row>
    <row r="47" spans="1:39" s="6" customFormat="1" ht="15.75" x14ac:dyDescent="0.25">
      <c r="A47" s="11">
        <v>70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/>
      <c r="Y47" s="17"/>
      <c r="Z47" s="17"/>
    </row>
    <row r="48" spans="1:39" s="6" customFormat="1" ht="15.75" x14ac:dyDescent="0.25">
      <c r="A48" s="11">
        <v>75</v>
      </c>
      <c r="B48" s="24">
        <v>0</v>
      </c>
      <c r="C48" s="17">
        <v>0</v>
      </c>
      <c r="D48" s="17">
        <v>0</v>
      </c>
      <c r="E48" s="24">
        <v>0</v>
      </c>
      <c r="F48" s="17">
        <v>0</v>
      </c>
      <c r="G48" s="24">
        <v>0</v>
      </c>
      <c r="H48" s="17">
        <v>0</v>
      </c>
      <c r="I48" s="17">
        <v>0</v>
      </c>
      <c r="J48" s="24">
        <v>0</v>
      </c>
      <c r="K48" s="17">
        <v>0</v>
      </c>
      <c r="L48" s="17">
        <v>0</v>
      </c>
      <c r="M48" s="24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/>
      <c r="Y48" s="17"/>
      <c r="Z48" s="17"/>
    </row>
    <row r="49" spans="1:26" s="6" customFormat="1" ht="15.75" x14ac:dyDescent="0.25">
      <c r="A49" s="11">
        <v>80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/>
      <c r="Y49" s="17"/>
      <c r="Z49" s="17"/>
    </row>
    <row r="50" spans="1:26" s="6" customFormat="1" ht="15.75" x14ac:dyDescent="0.25">
      <c r="A50" s="11">
        <v>85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/>
      <c r="Y50" s="17"/>
      <c r="Z50" s="17"/>
    </row>
    <row r="51" spans="1:26" s="6" customFormat="1" ht="15.75" x14ac:dyDescent="0.25">
      <c r="A51" s="20">
        <v>90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17"/>
      <c r="Y51" s="17"/>
      <c r="Z51" s="17"/>
    </row>
    <row r="52" spans="1:26" s="6" customFormat="1" ht="15.75" x14ac:dyDescent="0.25">
      <c r="A52" s="11">
        <v>95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/>
      <c r="Y52" s="17"/>
      <c r="Z52" s="17"/>
    </row>
    <row r="53" spans="1:26" s="6" customFormat="1" ht="15.75" x14ac:dyDescent="0.25">
      <c r="A53" s="11">
        <v>100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/>
      <c r="Y53" s="17"/>
      <c r="Z53" s="17"/>
    </row>
    <row r="54" spans="1:26" s="6" customFormat="1" ht="15.75" x14ac:dyDescent="0.25">
      <c r="A54" s="11">
        <v>105</v>
      </c>
      <c r="B54" s="24">
        <f t="shared" ref="B54:B63" si="6">($B$33+B$35)*(1-TAN(RADIANS(180-$A54)/2))/TAN(RADIANS(180-$A54)/2)</f>
        <v>0.6670958202506525</v>
      </c>
      <c r="C54" s="17">
        <v>0</v>
      </c>
      <c r="D54" s="17">
        <v>0</v>
      </c>
      <c r="E54" s="24">
        <f t="shared" ref="E54:M63" si="7">($B$33+E$35)*(1-TAN(RADIANS(180-$A54)/2))/TAN(RADIANS(180-$A54)/2)</f>
        <v>0.7580634321030143</v>
      </c>
      <c r="F54" s="17">
        <v>0</v>
      </c>
      <c r="G54" s="24">
        <f t="shared" si="7"/>
        <v>0.84903104395537599</v>
      </c>
      <c r="H54" s="17">
        <v>0</v>
      </c>
      <c r="I54" s="17">
        <v>0</v>
      </c>
      <c r="J54" s="24">
        <f t="shared" si="7"/>
        <v>0.97032119309185827</v>
      </c>
      <c r="K54" s="17">
        <v>0</v>
      </c>
      <c r="L54" s="17">
        <v>0</v>
      </c>
      <c r="M54" s="24">
        <f t="shared" si="7"/>
        <v>1.1522564167965816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/>
      <c r="Y54" s="17"/>
      <c r="Z54" s="17"/>
    </row>
    <row r="55" spans="1:26" s="6" customFormat="1" ht="15.75" x14ac:dyDescent="0.25">
      <c r="A55" s="11">
        <v>110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/>
      <c r="Y55" s="17"/>
      <c r="Z55" s="17"/>
    </row>
    <row r="56" spans="1:26" s="6" customFormat="1" ht="15.75" x14ac:dyDescent="0.25">
      <c r="A56" s="11">
        <v>115</v>
      </c>
      <c r="B56" s="17">
        <v>0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/>
      <c r="Y56" s="17"/>
      <c r="Z56" s="17"/>
    </row>
    <row r="57" spans="1:26" s="6" customFormat="1" ht="15.75" x14ac:dyDescent="0.25">
      <c r="A57" s="11">
        <v>120</v>
      </c>
      <c r="B57" s="24">
        <f t="shared" si="6"/>
        <v>1.6105117766515302</v>
      </c>
      <c r="C57" s="17">
        <v>0</v>
      </c>
      <c r="D57" s="17">
        <v>0</v>
      </c>
      <c r="E57" s="24">
        <f t="shared" si="7"/>
        <v>1.8301270189221934</v>
      </c>
      <c r="F57" s="17">
        <v>0</v>
      </c>
      <c r="G57" s="24">
        <f t="shared" si="7"/>
        <v>2.0497422611928564</v>
      </c>
      <c r="H57" s="17">
        <v>0</v>
      </c>
      <c r="I57" s="17">
        <v>0</v>
      </c>
      <c r="J57" s="24">
        <f t="shared" si="7"/>
        <v>2.3425625842204081</v>
      </c>
      <c r="K57" s="17">
        <v>0</v>
      </c>
      <c r="L57" s="17">
        <v>0</v>
      </c>
      <c r="M57" s="24">
        <f t="shared" si="7"/>
        <v>2.781793068761734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/>
      <c r="Y57" s="17"/>
      <c r="Z57" s="17"/>
    </row>
    <row r="58" spans="1:26" s="6" customFormat="1" ht="15.75" x14ac:dyDescent="0.25">
      <c r="A58" s="11">
        <v>125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/>
      <c r="Y58" s="17"/>
      <c r="Z58" s="17"/>
    </row>
    <row r="59" spans="1:26" s="6" customFormat="1" ht="15.75" x14ac:dyDescent="0.25">
      <c r="A59" s="11">
        <v>130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/>
      <c r="Y59" s="17"/>
      <c r="Z59" s="17"/>
    </row>
    <row r="60" spans="1:26" s="6" customFormat="1" ht="15.75" x14ac:dyDescent="0.25">
      <c r="A60" s="11">
        <v>135</v>
      </c>
      <c r="B60" s="24">
        <f t="shared" si="6"/>
        <v>3.1112698372208092</v>
      </c>
      <c r="C60" s="17">
        <v>0</v>
      </c>
      <c r="D60" s="17">
        <v>0</v>
      </c>
      <c r="E60" s="24">
        <f t="shared" si="7"/>
        <v>3.5355339059327378</v>
      </c>
      <c r="F60" s="17">
        <v>0</v>
      </c>
      <c r="G60" s="24">
        <f t="shared" si="7"/>
        <v>3.9597979746446659</v>
      </c>
      <c r="H60" s="17">
        <v>0</v>
      </c>
      <c r="I60" s="17">
        <v>0</v>
      </c>
      <c r="J60" s="24">
        <f t="shared" si="7"/>
        <v>4.525483399593905</v>
      </c>
      <c r="K60" s="17">
        <v>0</v>
      </c>
      <c r="L60" s="17">
        <v>0</v>
      </c>
      <c r="M60" s="24">
        <f t="shared" si="7"/>
        <v>5.3740115370177612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/>
      <c r="Y60" s="17"/>
      <c r="Z60" s="17"/>
    </row>
    <row r="61" spans="1:26" s="6" customFormat="1" ht="15.75" x14ac:dyDescent="0.25">
      <c r="A61" s="11">
        <v>140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/>
      <c r="Y61" s="17"/>
      <c r="Z61" s="17"/>
    </row>
    <row r="62" spans="1:26" s="6" customFormat="1" ht="15.75" x14ac:dyDescent="0.25">
      <c r="A62" s="11">
        <v>145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/>
      <c r="Y62" s="17"/>
      <c r="Z62" s="17"/>
    </row>
    <row r="63" spans="1:26" s="6" customFormat="1" ht="15.75" x14ac:dyDescent="0.25">
      <c r="A63" s="11">
        <v>150</v>
      </c>
      <c r="B63" s="24">
        <f t="shared" si="6"/>
        <v>6.0105117766515308</v>
      </c>
      <c r="C63" s="17">
        <v>0</v>
      </c>
      <c r="D63" s="17">
        <v>0</v>
      </c>
      <c r="E63" s="24">
        <f t="shared" si="7"/>
        <v>6.8301270189221936</v>
      </c>
      <c r="F63" s="17">
        <v>0</v>
      </c>
      <c r="G63" s="24">
        <f t="shared" si="7"/>
        <v>7.6497422611928565</v>
      </c>
      <c r="H63" s="17">
        <v>0</v>
      </c>
      <c r="I63" s="17">
        <v>0</v>
      </c>
      <c r="J63" s="24">
        <f t="shared" si="7"/>
        <v>8.7425625842204084</v>
      </c>
      <c r="K63" s="17">
        <v>0</v>
      </c>
      <c r="L63" s="17">
        <v>0</v>
      </c>
      <c r="M63" s="24">
        <f t="shared" si="7"/>
        <v>10.381793068761734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/>
      <c r="Y63" s="17"/>
      <c r="Z63" s="17"/>
    </row>
    <row r="64" spans="1:26" s="6" customFormat="1" ht="16.5" thickBot="1" x14ac:dyDescent="0.3">
      <c r="A64" s="12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7"/>
      <c r="Y64" s="17"/>
      <c r="Z64" s="17"/>
    </row>
    <row r="65" spans="1:39" s="5" customFormat="1" ht="16.5" thickBot="1" x14ac:dyDescent="0.3">
      <c r="A65" s="8" t="s">
        <v>5</v>
      </c>
      <c r="B65" s="16">
        <v>1.5</v>
      </c>
      <c r="C65" s="22"/>
      <c r="X65" s="27"/>
      <c r="Y65" s="27"/>
      <c r="Z65" s="27"/>
    </row>
    <row r="66" spans="1:39" s="6" customFormat="1" ht="16.5" thickBot="1" x14ac:dyDescent="0.25">
      <c r="A66" s="114" t="s">
        <v>6</v>
      </c>
      <c r="B66" s="116" t="s">
        <v>7</v>
      </c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25"/>
      <c r="O66" s="125"/>
      <c r="P66" s="125"/>
      <c r="Q66" s="125"/>
      <c r="R66" s="125"/>
      <c r="S66" s="125"/>
      <c r="T66" s="125"/>
      <c r="U66" s="125"/>
      <c r="V66" s="125"/>
      <c r="W66" s="126"/>
      <c r="X66" s="17"/>
      <c r="Y66" s="17"/>
      <c r="Z66" s="17"/>
    </row>
    <row r="67" spans="1:39" s="10" customFormat="1" ht="16.5" thickBot="1" x14ac:dyDescent="0.3">
      <c r="A67" s="115"/>
      <c r="B67" s="15">
        <v>1</v>
      </c>
      <c r="C67" s="15">
        <v>1.1000000000000001</v>
      </c>
      <c r="D67" s="15">
        <v>1.2</v>
      </c>
      <c r="E67" s="15">
        <v>1.3</v>
      </c>
      <c r="F67" s="18">
        <v>1.4</v>
      </c>
      <c r="G67" s="18">
        <v>1.6</v>
      </c>
      <c r="H67" s="15">
        <v>1.7</v>
      </c>
      <c r="I67" s="18">
        <v>1.9</v>
      </c>
      <c r="J67" s="15">
        <v>2</v>
      </c>
      <c r="K67" s="15">
        <v>2.2999999999999998</v>
      </c>
      <c r="L67" s="15">
        <v>2.5</v>
      </c>
      <c r="M67" s="15">
        <v>2.6</v>
      </c>
      <c r="N67" s="15">
        <v>2.7</v>
      </c>
      <c r="O67" s="15">
        <v>3</v>
      </c>
      <c r="P67" s="15">
        <v>3.2</v>
      </c>
      <c r="Q67" s="15">
        <v>3.3</v>
      </c>
      <c r="R67" s="15">
        <v>3.4</v>
      </c>
      <c r="S67" s="15">
        <v>3.7</v>
      </c>
      <c r="T67" s="18">
        <v>3.9</v>
      </c>
      <c r="U67" s="18">
        <v>4.3</v>
      </c>
      <c r="V67" s="15">
        <v>4.5</v>
      </c>
      <c r="W67" s="15">
        <v>5.5</v>
      </c>
      <c r="X67" s="15"/>
      <c r="Y67" s="15"/>
      <c r="Z67" s="15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spans="1:39" s="6" customFormat="1" ht="15.75" x14ac:dyDescent="0.25">
      <c r="A68" s="11">
        <v>15</v>
      </c>
      <c r="B68" s="17">
        <v>0</v>
      </c>
      <c r="C68" s="17">
        <v>0</v>
      </c>
      <c r="D68" s="17">
        <v>0</v>
      </c>
      <c r="E68" s="17">
        <v>0</v>
      </c>
      <c r="F68" s="19">
        <v>0</v>
      </c>
      <c r="G68" s="19">
        <v>0</v>
      </c>
      <c r="H68" s="17">
        <v>0</v>
      </c>
      <c r="I68" s="19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9">
        <v>0</v>
      </c>
      <c r="P68" s="17">
        <v>0</v>
      </c>
      <c r="Q68" s="17">
        <v>0</v>
      </c>
      <c r="R68" s="17">
        <v>0</v>
      </c>
      <c r="S68" s="17">
        <v>0</v>
      </c>
      <c r="T68" s="19">
        <v>0</v>
      </c>
      <c r="U68" s="19">
        <v>0</v>
      </c>
      <c r="V68" s="17">
        <v>0</v>
      </c>
      <c r="W68" s="17">
        <v>0</v>
      </c>
      <c r="X68" s="17"/>
      <c r="Y68" s="17"/>
      <c r="Z68" s="17"/>
    </row>
    <row r="69" spans="1:39" s="6" customFormat="1" ht="15.75" x14ac:dyDescent="0.25">
      <c r="A69" s="11">
        <v>20</v>
      </c>
      <c r="B69" s="17">
        <v>0</v>
      </c>
      <c r="C69" s="17">
        <v>0</v>
      </c>
      <c r="D69" s="17">
        <v>0</v>
      </c>
      <c r="E69" s="17">
        <v>0</v>
      </c>
      <c r="F69" s="19">
        <v>0</v>
      </c>
      <c r="G69" s="19">
        <v>0</v>
      </c>
      <c r="H69" s="17">
        <v>0</v>
      </c>
      <c r="I69" s="19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9">
        <v>0</v>
      </c>
      <c r="P69" s="17">
        <v>0</v>
      </c>
      <c r="Q69" s="17">
        <v>0</v>
      </c>
      <c r="R69" s="17">
        <v>0</v>
      </c>
      <c r="S69" s="17">
        <v>0</v>
      </c>
      <c r="T69" s="19">
        <v>0</v>
      </c>
      <c r="U69" s="19">
        <v>0</v>
      </c>
      <c r="V69" s="17">
        <v>0</v>
      </c>
      <c r="W69" s="17">
        <v>0</v>
      </c>
      <c r="X69" s="17"/>
      <c r="Y69" s="17"/>
      <c r="Z69" s="17"/>
    </row>
    <row r="70" spans="1:39" s="6" customFormat="1" ht="15.75" x14ac:dyDescent="0.25">
      <c r="A70" s="11">
        <v>25</v>
      </c>
      <c r="B70" s="17">
        <v>0</v>
      </c>
      <c r="C70" s="17">
        <v>0</v>
      </c>
      <c r="D70" s="17">
        <v>0</v>
      </c>
      <c r="E70" s="17">
        <v>0</v>
      </c>
      <c r="F70" s="19">
        <v>0</v>
      </c>
      <c r="G70" s="19">
        <v>0</v>
      </c>
      <c r="H70" s="17">
        <v>0</v>
      </c>
      <c r="I70" s="19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9">
        <v>0</v>
      </c>
      <c r="P70" s="17">
        <v>0</v>
      </c>
      <c r="Q70" s="17">
        <v>0</v>
      </c>
      <c r="R70" s="17">
        <v>0</v>
      </c>
      <c r="S70" s="17">
        <v>0</v>
      </c>
      <c r="T70" s="19">
        <v>0</v>
      </c>
      <c r="U70" s="19">
        <v>0</v>
      </c>
      <c r="V70" s="17">
        <v>0</v>
      </c>
      <c r="W70" s="17">
        <v>0</v>
      </c>
      <c r="X70" s="17"/>
      <c r="Y70" s="17"/>
      <c r="Z70" s="17"/>
    </row>
    <row r="71" spans="1:39" s="6" customFormat="1" ht="15.75" x14ac:dyDescent="0.25">
      <c r="A71" s="11">
        <v>30</v>
      </c>
      <c r="B71" s="17">
        <v>0</v>
      </c>
      <c r="C71" s="17">
        <v>0</v>
      </c>
      <c r="D71" s="17">
        <v>0</v>
      </c>
      <c r="E71" s="17">
        <v>0</v>
      </c>
      <c r="F71" s="19">
        <v>0</v>
      </c>
      <c r="G71" s="19">
        <v>0</v>
      </c>
      <c r="H71" s="17">
        <v>0</v>
      </c>
      <c r="I71" s="19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9">
        <v>0</v>
      </c>
      <c r="P71" s="17">
        <v>0</v>
      </c>
      <c r="Q71" s="17">
        <v>0</v>
      </c>
      <c r="R71" s="17">
        <v>0</v>
      </c>
      <c r="S71" s="17">
        <v>0</v>
      </c>
      <c r="T71" s="19">
        <v>0</v>
      </c>
      <c r="U71" s="19">
        <v>0</v>
      </c>
      <c r="V71" s="17">
        <v>0</v>
      </c>
      <c r="W71" s="17">
        <v>0</v>
      </c>
      <c r="X71" s="17"/>
      <c r="Y71" s="17"/>
      <c r="Z71" s="17"/>
    </row>
    <row r="72" spans="1:39" s="6" customFormat="1" ht="15.75" x14ac:dyDescent="0.25">
      <c r="A72" s="11">
        <v>35</v>
      </c>
      <c r="B72" s="17">
        <v>0</v>
      </c>
      <c r="C72" s="17">
        <v>0</v>
      </c>
      <c r="D72" s="17">
        <v>0</v>
      </c>
      <c r="E72" s="17">
        <v>0</v>
      </c>
      <c r="F72" s="19">
        <v>0</v>
      </c>
      <c r="G72" s="19">
        <v>0</v>
      </c>
      <c r="H72" s="17">
        <v>0</v>
      </c>
      <c r="I72" s="19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9">
        <v>0</v>
      </c>
      <c r="P72" s="17">
        <v>0</v>
      </c>
      <c r="Q72" s="17">
        <v>0</v>
      </c>
      <c r="R72" s="17">
        <v>0</v>
      </c>
      <c r="S72" s="17">
        <v>0</v>
      </c>
      <c r="T72" s="19">
        <v>0</v>
      </c>
      <c r="U72" s="19">
        <v>0</v>
      </c>
      <c r="V72" s="17">
        <v>0</v>
      </c>
      <c r="W72" s="17">
        <v>0</v>
      </c>
      <c r="X72" s="17"/>
      <c r="Y72" s="17"/>
      <c r="Z72" s="17"/>
    </row>
    <row r="73" spans="1:39" s="6" customFormat="1" ht="15.75" x14ac:dyDescent="0.25">
      <c r="A73" s="11">
        <v>40</v>
      </c>
      <c r="B73" s="17">
        <v>0</v>
      </c>
      <c r="C73" s="17">
        <v>0</v>
      </c>
      <c r="D73" s="17">
        <v>0</v>
      </c>
      <c r="E73" s="17">
        <v>0</v>
      </c>
      <c r="F73" s="19">
        <v>0</v>
      </c>
      <c r="G73" s="19">
        <v>0</v>
      </c>
      <c r="H73" s="17">
        <v>0</v>
      </c>
      <c r="I73" s="19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9">
        <v>0</v>
      </c>
      <c r="P73" s="17">
        <v>0</v>
      </c>
      <c r="Q73" s="17">
        <v>0</v>
      </c>
      <c r="R73" s="17">
        <v>0</v>
      </c>
      <c r="S73" s="17">
        <v>0</v>
      </c>
      <c r="T73" s="19">
        <v>0</v>
      </c>
      <c r="U73" s="19">
        <v>0</v>
      </c>
      <c r="V73" s="17">
        <v>0</v>
      </c>
      <c r="W73" s="17">
        <v>0</v>
      </c>
      <c r="X73" s="17"/>
      <c r="Y73" s="17"/>
      <c r="Z73" s="17"/>
    </row>
    <row r="74" spans="1:39" s="6" customFormat="1" ht="15.75" x14ac:dyDescent="0.25">
      <c r="A74" s="11">
        <v>45</v>
      </c>
      <c r="B74" s="17">
        <v>0</v>
      </c>
      <c r="C74" s="17">
        <v>0</v>
      </c>
      <c r="D74" s="17">
        <v>0</v>
      </c>
      <c r="E74" s="17">
        <v>0</v>
      </c>
      <c r="F74" s="19">
        <v>0</v>
      </c>
      <c r="G74" s="19">
        <v>0</v>
      </c>
      <c r="H74" s="17">
        <v>0</v>
      </c>
      <c r="I74" s="19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9">
        <v>0</v>
      </c>
      <c r="P74" s="17">
        <v>0</v>
      </c>
      <c r="Q74" s="17">
        <v>0</v>
      </c>
      <c r="R74" s="17">
        <v>0</v>
      </c>
      <c r="S74" s="17">
        <v>0</v>
      </c>
      <c r="T74" s="19">
        <v>0</v>
      </c>
      <c r="U74" s="19">
        <v>0</v>
      </c>
      <c r="V74" s="17">
        <v>0</v>
      </c>
      <c r="W74" s="17">
        <v>0</v>
      </c>
      <c r="X74" s="17"/>
      <c r="Y74" s="17"/>
      <c r="Z74" s="17"/>
    </row>
    <row r="75" spans="1:39" s="6" customFormat="1" ht="15.75" x14ac:dyDescent="0.25">
      <c r="A75" s="11">
        <v>50</v>
      </c>
      <c r="B75" s="17">
        <v>0</v>
      </c>
      <c r="C75" s="17">
        <v>0</v>
      </c>
      <c r="D75" s="17">
        <v>0</v>
      </c>
      <c r="E75" s="17">
        <v>0</v>
      </c>
      <c r="F75" s="19">
        <v>0</v>
      </c>
      <c r="G75" s="19">
        <v>0</v>
      </c>
      <c r="H75" s="17">
        <v>0</v>
      </c>
      <c r="I75" s="19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9">
        <v>0</v>
      </c>
      <c r="P75" s="17">
        <v>0</v>
      </c>
      <c r="Q75" s="17">
        <v>0</v>
      </c>
      <c r="R75" s="17">
        <v>0</v>
      </c>
      <c r="S75" s="17">
        <v>0</v>
      </c>
      <c r="T75" s="19">
        <v>0</v>
      </c>
      <c r="U75" s="19">
        <v>0</v>
      </c>
      <c r="V75" s="17">
        <v>0</v>
      </c>
      <c r="W75" s="17">
        <v>0</v>
      </c>
      <c r="X75" s="17"/>
      <c r="Y75" s="17"/>
      <c r="Z75" s="17"/>
    </row>
    <row r="76" spans="1:39" s="6" customFormat="1" ht="15.75" x14ac:dyDescent="0.25">
      <c r="A76" s="11">
        <v>55</v>
      </c>
      <c r="B76" s="17">
        <v>0</v>
      </c>
      <c r="C76" s="17">
        <v>0</v>
      </c>
      <c r="D76" s="17">
        <v>0</v>
      </c>
      <c r="E76" s="17">
        <v>0</v>
      </c>
      <c r="F76" s="19">
        <v>0</v>
      </c>
      <c r="G76" s="19">
        <v>0</v>
      </c>
      <c r="H76" s="17">
        <v>0</v>
      </c>
      <c r="I76" s="19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9">
        <v>0</v>
      </c>
      <c r="P76" s="17">
        <v>0</v>
      </c>
      <c r="Q76" s="17">
        <v>0</v>
      </c>
      <c r="R76" s="17">
        <v>0</v>
      </c>
      <c r="S76" s="17">
        <v>0</v>
      </c>
      <c r="T76" s="19">
        <v>0</v>
      </c>
      <c r="U76" s="19">
        <v>0</v>
      </c>
      <c r="V76" s="17">
        <v>0</v>
      </c>
      <c r="W76" s="17">
        <v>0</v>
      </c>
      <c r="X76" s="17"/>
      <c r="Y76" s="17"/>
      <c r="Z76" s="17"/>
    </row>
    <row r="77" spans="1:39" s="6" customFormat="1" ht="15.75" x14ac:dyDescent="0.25">
      <c r="A77" s="11">
        <v>60</v>
      </c>
      <c r="B77" s="17">
        <v>0</v>
      </c>
      <c r="C77" s="17">
        <v>0</v>
      </c>
      <c r="D77" s="17">
        <v>0</v>
      </c>
      <c r="E77" s="17">
        <v>0</v>
      </c>
      <c r="F77" s="19">
        <v>0</v>
      </c>
      <c r="G77" s="19">
        <v>0</v>
      </c>
      <c r="H77" s="17">
        <v>0</v>
      </c>
      <c r="I77" s="19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9">
        <v>0</v>
      </c>
      <c r="P77" s="17">
        <v>0</v>
      </c>
      <c r="Q77" s="17">
        <v>0</v>
      </c>
      <c r="R77" s="17">
        <v>0</v>
      </c>
      <c r="S77" s="17">
        <v>0</v>
      </c>
      <c r="T77" s="19">
        <v>0</v>
      </c>
      <c r="U77" s="19">
        <v>0</v>
      </c>
      <c r="V77" s="17">
        <v>0</v>
      </c>
      <c r="W77" s="17">
        <v>0</v>
      </c>
      <c r="X77" s="17"/>
      <c r="Y77" s="17"/>
      <c r="Z77" s="17"/>
    </row>
    <row r="78" spans="1:39" s="6" customFormat="1" ht="15.75" x14ac:dyDescent="0.25">
      <c r="A78" s="11">
        <v>65</v>
      </c>
      <c r="B78" s="17">
        <v>0</v>
      </c>
      <c r="C78" s="17">
        <v>0</v>
      </c>
      <c r="D78" s="17">
        <v>0</v>
      </c>
      <c r="E78" s="17">
        <v>0</v>
      </c>
      <c r="F78" s="19">
        <v>0</v>
      </c>
      <c r="G78" s="19">
        <v>0</v>
      </c>
      <c r="H78" s="17">
        <v>0</v>
      </c>
      <c r="I78" s="19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9">
        <v>0</v>
      </c>
      <c r="P78" s="17">
        <v>0</v>
      </c>
      <c r="Q78" s="17">
        <v>0</v>
      </c>
      <c r="R78" s="17">
        <v>0</v>
      </c>
      <c r="S78" s="17">
        <v>0</v>
      </c>
      <c r="T78" s="19">
        <v>0</v>
      </c>
      <c r="U78" s="19">
        <v>0</v>
      </c>
      <c r="V78" s="17">
        <v>0</v>
      </c>
      <c r="W78" s="17">
        <v>0</v>
      </c>
      <c r="X78" s="17"/>
      <c r="Y78" s="17"/>
      <c r="Z78" s="17"/>
    </row>
    <row r="79" spans="1:39" s="6" customFormat="1" ht="15.75" x14ac:dyDescent="0.25">
      <c r="A79" s="11">
        <v>70</v>
      </c>
      <c r="B79" s="17">
        <v>0</v>
      </c>
      <c r="C79" s="17">
        <v>0</v>
      </c>
      <c r="D79" s="17">
        <v>0</v>
      </c>
      <c r="E79" s="17">
        <v>0</v>
      </c>
      <c r="F79" s="19">
        <v>0</v>
      </c>
      <c r="G79" s="19">
        <v>0</v>
      </c>
      <c r="H79" s="17">
        <v>0</v>
      </c>
      <c r="I79" s="19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9">
        <v>0</v>
      </c>
      <c r="P79" s="17">
        <v>0</v>
      </c>
      <c r="Q79" s="17">
        <v>0</v>
      </c>
      <c r="R79" s="17">
        <v>0</v>
      </c>
      <c r="S79" s="17">
        <v>0</v>
      </c>
      <c r="T79" s="19">
        <v>0</v>
      </c>
      <c r="U79" s="19">
        <v>0</v>
      </c>
      <c r="V79" s="17">
        <v>0</v>
      </c>
      <c r="W79" s="17">
        <v>0</v>
      </c>
      <c r="X79" s="17"/>
      <c r="Y79" s="17"/>
      <c r="Z79" s="17"/>
    </row>
    <row r="80" spans="1:39" s="6" customFormat="1" ht="15.75" x14ac:dyDescent="0.25">
      <c r="A80" s="11">
        <v>75</v>
      </c>
      <c r="B80" s="17">
        <v>0</v>
      </c>
      <c r="C80" s="17">
        <v>0</v>
      </c>
      <c r="D80" s="17">
        <v>0</v>
      </c>
      <c r="E80" s="17">
        <v>0</v>
      </c>
      <c r="F80" s="19">
        <v>0</v>
      </c>
      <c r="G80" s="19">
        <v>0</v>
      </c>
      <c r="H80" s="17">
        <v>0</v>
      </c>
      <c r="I80" s="19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9">
        <v>0</v>
      </c>
      <c r="P80" s="17">
        <v>0</v>
      </c>
      <c r="Q80" s="17">
        <v>0</v>
      </c>
      <c r="R80" s="17">
        <v>0</v>
      </c>
      <c r="S80" s="17">
        <v>0</v>
      </c>
      <c r="T80" s="19">
        <v>0</v>
      </c>
      <c r="U80" s="19">
        <v>0</v>
      </c>
      <c r="V80" s="17">
        <v>0</v>
      </c>
      <c r="W80" s="17">
        <v>0</v>
      </c>
      <c r="X80" s="17"/>
      <c r="Y80" s="17"/>
      <c r="Z80" s="17"/>
    </row>
    <row r="81" spans="1:26" s="6" customFormat="1" ht="15.75" x14ac:dyDescent="0.25">
      <c r="A81" s="11">
        <v>80</v>
      </c>
      <c r="B81" s="17">
        <v>0</v>
      </c>
      <c r="C81" s="17">
        <v>0</v>
      </c>
      <c r="D81" s="17">
        <v>0</v>
      </c>
      <c r="E81" s="17">
        <v>0</v>
      </c>
      <c r="F81" s="19">
        <v>0</v>
      </c>
      <c r="G81" s="19">
        <v>0</v>
      </c>
      <c r="H81" s="17">
        <v>0</v>
      </c>
      <c r="I81" s="19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9">
        <v>0</v>
      </c>
      <c r="P81" s="17">
        <v>0</v>
      </c>
      <c r="Q81" s="17">
        <v>0</v>
      </c>
      <c r="R81" s="17">
        <v>0</v>
      </c>
      <c r="S81" s="17">
        <v>0</v>
      </c>
      <c r="T81" s="19">
        <v>0</v>
      </c>
      <c r="U81" s="19">
        <v>0</v>
      </c>
      <c r="V81" s="17">
        <v>0</v>
      </c>
      <c r="W81" s="17">
        <v>0</v>
      </c>
      <c r="X81" s="17"/>
      <c r="Y81" s="17"/>
      <c r="Z81" s="17"/>
    </row>
    <row r="82" spans="1:26" s="6" customFormat="1" ht="15.75" x14ac:dyDescent="0.25">
      <c r="A82" s="11">
        <v>85</v>
      </c>
      <c r="B82" s="17">
        <v>0</v>
      </c>
      <c r="C82" s="17">
        <v>0</v>
      </c>
      <c r="D82" s="17">
        <v>0</v>
      </c>
      <c r="E82" s="17">
        <v>0</v>
      </c>
      <c r="F82" s="19">
        <v>0</v>
      </c>
      <c r="G82" s="19">
        <v>0</v>
      </c>
      <c r="H82" s="17">
        <v>0</v>
      </c>
      <c r="I82" s="19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9">
        <v>0</v>
      </c>
      <c r="P82" s="17">
        <v>0</v>
      </c>
      <c r="Q82" s="17">
        <v>0</v>
      </c>
      <c r="R82" s="17">
        <v>0</v>
      </c>
      <c r="S82" s="17">
        <v>0</v>
      </c>
      <c r="T82" s="19">
        <v>0</v>
      </c>
      <c r="U82" s="19">
        <v>0</v>
      </c>
      <c r="V82" s="17">
        <v>0</v>
      </c>
      <c r="W82" s="17">
        <v>0</v>
      </c>
      <c r="X82" s="17"/>
      <c r="Y82" s="17"/>
      <c r="Z82" s="17"/>
    </row>
    <row r="83" spans="1:26" s="6" customFormat="1" ht="15.75" x14ac:dyDescent="0.25">
      <c r="A83" s="20">
        <v>90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17"/>
      <c r="Y83" s="17"/>
      <c r="Z83" s="17"/>
    </row>
    <row r="84" spans="1:26" s="6" customFormat="1" ht="15.75" x14ac:dyDescent="0.25">
      <c r="A84" s="11">
        <v>95</v>
      </c>
      <c r="B84" s="17">
        <v>0</v>
      </c>
      <c r="C84" s="17">
        <v>0</v>
      </c>
      <c r="D84" s="17">
        <v>0</v>
      </c>
      <c r="E84" s="17">
        <v>0</v>
      </c>
      <c r="F84" s="19">
        <f t="shared" ref="F84:U95" si="8">($B$65+F$67)*(1-TAN(RADIANS(180-$A84)/2))/TAN(RADIANS(180-$A84)/2)</f>
        <v>0.26479465310088712</v>
      </c>
      <c r="G84" s="19">
        <f t="shared" si="8"/>
        <v>0.28305635331474144</v>
      </c>
      <c r="H84" s="17">
        <v>0</v>
      </c>
      <c r="I84" s="19">
        <f t="shared" si="8"/>
        <v>0.3104489036355228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9">
        <f t="shared" si="8"/>
        <v>0.41088825481172137</v>
      </c>
      <c r="P84" s="17">
        <v>0</v>
      </c>
      <c r="Q84" s="17">
        <v>0</v>
      </c>
      <c r="R84" s="17">
        <v>0</v>
      </c>
      <c r="S84" s="17">
        <v>0</v>
      </c>
      <c r="T84" s="19">
        <f t="shared" si="8"/>
        <v>0.49306590577406567</v>
      </c>
      <c r="U84" s="19">
        <f t="shared" si="8"/>
        <v>0.52958930620177425</v>
      </c>
      <c r="V84" s="17">
        <v>0</v>
      </c>
      <c r="W84" s="17">
        <v>0</v>
      </c>
      <c r="X84" s="17"/>
      <c r="Y84" s="17"/>
      <c r="Z84" s="17"/>
    </row>
    <row r="85" spans="1:26" s="6" customFormat="1" ht="15.75" x14ac:dyDescent="0.25">
      <c r="A85" s="11">
        <v>100</v>
      </c>
      <c r="B85" s="17">
        <v>0</v>
      </c>
      <c r="C85" s="17">
        <v>0</v>
      </c>
      <c r="D85" s="17">
        <v>0</v>
      </c>
      <c r="E85" s="17">
        <v>0</v>
      </c>
      <c r="F85" s="19">
        <f t="shared" ref="F85:O85" si="9">($B$65+F$67)*(1-TAN(RADIANS(180-$A85)/2))/TAN(RADIANS(180-$A85)/2)</f>
        <v>0.55608541852320925</v>
      </c>
      <c r="G85" s="19">
        <f t="shared" si="9"/>
        <v>0.59443613704205123</v>
      </c>
      <c r="H85" s="17">
        <v>0</v>
      </c>
      <c r="I85" s="19">
        <f t="shared" si="9"/>
        <v>0.65196221482031425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9">
        <f t="shared" si="9"/>
        <v>0.86289116667394539</v>
      </c>
      <c r="P85" s="17">
        <v>0</v>
      </c>
      <c r="Q85" s="17">
        <v>0</v>
      </c>
      <c r="R85" s="17">
        <v>0</v>
      </c>
      <c r="S85" s="17">
        <v>0</v>
      </c>
      <c r="T85" s="19">
        <f t="shared" si="8"/>
        <v>1.0354694000087346</v>
      </c>
      <c r="U85" s="19">
        <f t="shared" si="8"/>
        <v>1.1121708370464185</v>
      </c>
      <c r="V85" s="17">
        <v>0</v>
      </c>
      <c r="W85" s="17">
        <v>0</v>
      </c>
      <c r="X85" s="17"/>
      <c r="Y85" s="17"/>
      <c r="Z85" s="17"/>
    </row>
    <row r="86" spans="1:26" s="6" customFormat="1" ht="15.75" x14ac:dyDescent="0.25">
      <c r="A86" s="11">
        <v>105</v>
      </c>
      <c r="B86" s="17">
        <v>0</v>
      </c>
      <c r="C86" s="17">
        <v>0</v>
      </c>
      <c r="D86" s="17">
        <v>0</v>
      </c>
      <c r="E86" s="17">
        <v>0</v>
      </c>
      <c r="F86" s="19">
        <f t="shared" si="8"/>
        <v>0.87935358123949658</v>
      </c>
      <c r="G86" s="19">
        <f t="shared" si="8"/>
        <v>0.93999865580773767</v>
      </c>
      <c r="H86" s="17">
        <v>0</v>
      </c>
      <c r="I86" s="19">
        <f t="shared" si="8"/>
        <v>1.0309662676600995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9">
        <f t="shared" si="8"/>
        <v>1.3645141777854255</v>
      </c>
      <c r="P86" s="17">
        <v>0</v>
      </c>
      <c r="Q86" s="17">
        <v>0</v>
      </c>
      <c r="R86" s="17">
        <v>0</v>
      </c>
      <c r="S86" s="17">
        <v>0</v>
      </c>
      <c r="T86" s="19">
        <f t="shared" si="8"/>
        <v>1.6374170133425108</v>
      </c>
      <c r="U86" s="19">
        <f t="shared" si="8"/>
        <v>1.7587071624789932</v>
      </c>
      <c r="V86" s="17">
        <v>0</v>
      </c>
      <c r="W86" s="17">
        <v>0</v>
      </c>
      <c r="X86" s="17"/>
      <c r="Y86" s="17"/>
      <c r="Z86" s="17"/>
    </row>
    <row r="87" spans="1:26" s="6" customFormat="1" ht="15.75" x14ac:dyDescent="0.25">
      <c r="A87" s="11">
        <v>110</v>
      </c>
      <c r="B87" s="17">
        <v>0</v>
      </c>
      <c r="C87" s="17">
        <v>0</v>
      </c>
      <c r="D87" s="17">
        <v>0</v>
      </c>
      <c r="E87" s="17">
        <v>0</v>
      </c>
      <c r="F87" s="19">
        <f t="shared" si="8"/>
        <v>1.2416292195521323</v>
      </c>
      <c r="G87" s="19">
        <f t="shared" si="8"/>
        <v>1.3272588209005554</v>
      </c>
      <c r="H87" s="17">
        <v>0</v>
      </c>
      <c r="I87" s="19">
        <f t="shared" si="8"/>
        <v>1.4557032229231899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9">
        <f t="shared" si="8"/>
        <v>1.926666030339516</v>
      </c>
      <c r="P87" s="17">
        <v>0</v>
      </c>
      <c r="Q87" s="17">
        <v>0</v>
      </c>
      <c r="R87" s="17">
        <v>0</v>
      </c>
      <c r="S87" s="17">
        <v>0</v>
      </c>
      <c r="T87" s="19">
        <f t="shared" si="8"/>
        <v>2.3119992364074191</v>
      </c>
      <c r="U87" s="19">
        <f t="shared" si="8"/>
        <v>2.4832584391042647</v>
      </c>
      <c r="V87" s="17">
        <v>0</v>
      </c>
      <c r="W87" s="17">
        <v>0</v>
      </c>
      <c r="X87" s="17"/>
      <c r="Y87" s="17"/>
      <c r="Z87" s="17"/>
    </row>
    <row r="88" spans="1:26" s="6" customFormat="1" ht="15.75" x14ac:dyDescent="0.25">
      <c r="A88" s="11">
        <v>115</v>
      </c>
      <c r="B88" s="17">
        <v>0</v>
      </c>
      <c r="C88" s="17">
        <v>0</v>
      </c>
      <c r="D88" s="17">
        <v>0</v>
      </c>
      <c r="E88" s="17">
        <v>0</v>
      </c>
      <c r="F88" s="19">
        <f t="shared" si="8"/>
        <v>1.6520881736407218</v>
      </c>
      <c r="G88" s="19">
        <f t="shared" si="8"/>
        <v>1.7660252890642201</v>
      </c>
      <c r="H88" s="17">
        <v>0</v>
      </c>
      <c r="I88" s="19">
        <f t="shared" si="8"/>
        <v>1.936930962199467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9">
        <f t="shared" si="8"/>
        <v>2.5635850970287062</v>
      </c>
      <c r="P88" s="17">
        <v>0</v>
      </c>
      <c r="Q88" s="17">
        <v>0</v>
      </c>
      <c r="R88" s="17">
        <v>0</v>
      </c>
      <c r="S88" s="17">
        <v>0</v>
      </c>
      <c r="T88" s="19">
        <f t="shared" si="8"/>
        <v>3.076302116434448</v>
      </c>
      <c r="U88" s="19">
        <f t="shared" si="8"/>
        <v>3.3041763472814436</v>
      </c>
      <c r="V88" s="17">
        <v>0</v>
      </c>
      <c r="W88" s="17">
        <v>0</v>
      </c>
      <c r="X88" s="17"/>
      <c r="Y88" s="17"/>
      <c r="Z88" s="17"/>
    </row>
    <row r="89" spans="1:26" s="6" customFormat="1" ht="15.75" x14ac:dyDescent="0.25">
      <c r="A89" s="11">
        <v>120</v>
      </c>
      <c r="B89" s="17">
        <v>0</v>
      </c>
      <c r="C89" s="17">
        <v>0</v>
      </c>
      <c r="D89" s="17">
        <v>0</v>
      </c>
      <c r="E89" s="17">
        <v>0</v>
      </c>
      <c r="F89" s="19">
        <f t="shared" si="8"/>
        <v>2.1229473419497444</v>
      </c>
      <c r="G89" s="19">
        <f t="shared" si="8"/>
        <v>2.2693575034635201</v>
      </c>
      <c r="H89" s="17">
        <v>0</v>
      </c>
      <c r="I89" s="19">
        <f t="shared" si="8"/>
        <v>2.4889727457341833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9">
        <f t="shared" si="8"/>
        <v>3.2942286340599485</v>
      </c>
      <c r="P89" s="17">
        <v>0</v>
      </c>
      <c r="Q89" s="17">
        <v>0</v>
      </c>
      <c r="R89" s="17">
        <v>0</v>
      </c>
      <c r="S89" s="17">
        <v>0</v>
      </c>
      <c r="T89" s="19">
        <f t="shared" si="8"/>
        <v>3.9530743608719385</v>
      </c>
      <c r="U89" s="19">
        <f t="shared" si="8"/>
        <v>4.2458946838994889</v>
      </c>
      <c r="V89" s="17">
        <v>0</v>
      </c>
      <c r="W89" s="17">
        <v>0</v>
      </c>
      <c r="X89" s="17"/>
      <c r="Y89" s="17"/>
      <c r="Z89" s="17"/>
    </row>
    <row r="90" spans="1:26" s="6" customFormat="1" ht="15.75" x14ac:dyDescent="0.25">
      <c r="A90" s="11">
        <v>125</v>
      </c>
      <c r="B90" s="17">
        <v>0</v>
      </c>
      <c r="C90" s="17">
        <v>0</v>
      </c>
      <c r="D90" s="17">
        <v>0</v>
      </c>
      <c r="E90" s="17">
        <v>0</v>
      </c>
      <c r="F90" s="19">
        <f t="shared" si="8"/>
        <v>2.6708481682163816</v>
      </c>
      <c r="G90" s="19">
        <f t="shared" si="8"/>
        <v>2.8550445936106148</v>
      </c>
      <c r="H90" s="17">
        <v>0</v>
      </c>
      <c r="I90" s="19">
        <f t="shared" si="8"/>
        <v>3.1313392317019644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9">
        <f t="shared" si="8"/>
        <v>4.1444195713702472</v>
      </c>
      <c r="P90" s="17">
        <v>0</v>
      </c>
      <c r="Q90" s="17">
        <v>0</v>
      </c>
      <c r="R90" s="17">
        <v>0</v>
      </c>
      <c r="S90" s="17">
        <v>0</v>
      </c>
      <c r="T90" s="19">
        <f t="shared" si="8"/>
        <v>4.9733034856442968</v>
      </c>
      <c r="U90" s="19">
        <f t="shared" si="8"/>
        <v>5.3416963364327632</v>
      </c>
      <c r="V90" s="17">
        <v>0</v>
      </c>
      <c r="W90" s="17">
        <v>0</v>
      </c>
      <c r="X90" s="17"/>
      <c r="Y90" s="17"/>
      <c r="Z90" s="17"/>
    </row>
    <row r="91" spans="1:26" s="6" customFormat="1" ht="15.75" x14ac:dyDescent="0.25">
      <c r="A91" s="11">
        <v>130</v>
      </c>
      <c r="B91" s="17">
        <v>0</v>
      </c>
      <c r="C91" s="17">
        <v>0</v>
      </c>
      <c r="D91" s="17">
        <v>0</v>
      </c>
      <c r="E91" s="17">
        <v>0</v>
      </c>
      <c r="F91" s="19">
        <f t="shared" si="8"/>
        <v>3.3190700694777204</v>
      </c>
      <c r="G91" s="19">
        <f t="shared" si="8"/>
        <v>3.5479714535796325</v>
      </c>
      <c r="H91" s="17">
        <v>0</v>
      </c>
      <c r="I91" s="19">
        <f t="shared" si="8"/>
        <v>3.8913235297324995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9">
        <f t="shared" si="8"/>
        <v>5.1502811422930144</v>
      </c>
      <c r="P91" s="17">
        <v>0</v>
      </c>
      <c r="Q91" s="17">
        <v>0</v>
      </c>
      <c r="R91" s="17">
        <v>0</v>
      </c>
      <c r="S91" s="17">
        <v>0</v>
      </c>
      <c r="T91" s="19">
        <f t="shared" si="8"/>
        <v>6.1803373707516185</v>
      </c>
      <c r="U91" s="19">
        <f t="shared" si="8"/>
        <v>6.6381401389554409</v>
      </c>
      <c r="V91" s="17">
        <v>0</v>
      </c>
      <c r="W91" s="17">
        <v>0</v>
      </c>
      <c r="X91" s="17"/>
      <c r="Y91" s="17"/>
      <c r="Z91" s="17"/>
    </row>
    <row r="92" spans="1:26" s="6" customFormat="1" ht="15.75" x14ac:dyDescent="0.25">
      <c r="A92" s="11">
        <v>135</v>
      </c>
      <c r="B92" s="17">
        <v>0</v>
      </c>
      <c r="C92" s="17">
        <v>0</v>
      </c>
      <c r="D92" s="17">
        <v>0</v>
      </c>
      <c r="E92" s="17">
        <v>0</v>
      </c>
      <c r="F92" s="19">
        <f t="shared" si="8"/>
        <v>4.1012193308819755</v>
      </c>
      <c r="G92" s="19">
        <f t="shared" si="8"/>
        <v>4.3840620433565949</v>
      </c>
      <c r="H92" s="17">
        <v>0</v>
      </c>
      <c r="I92" s="19">
        <f t="shared" si="8"/>
        <v>4.8083261120685235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9">
        <f t="shared" si="8"/>
        <v>6.3639610306789285</v>
      </c>
      <c r="P92" s="17">
        <v>0</v>
      </c>
      <c r="Q92" s="17">
        <v>0</v>
      </c>
      <c r="R92" s="17">
        <v>0</v>
      </c>
      <c r="S92" s="17">
        <v>0</v>
      </c>
      <c r="T92" s="19">
        <f t="shared" si="8"/>
        <v>7.6367532368147142</v>
      </c>
      <c r="U92" s="19">
        <f t="shared" si="8"/>
        <v>8.2024386617639511</v>
      </c>
      <c r="V92" s="17">
        <v>0</v>
      </c>
      <c r="W92" s="17">
        <v>0</v>
      </c>
      <c r="X92" s="17"/>
      <c r="Y92" s="17"/>
      <c r="Z92" s="17"/>
    </row>
    <row r="93" spans="1:26" s="6" customFormat="1" ht="15.75" x14ac:dyDescent="0.25">
      <c r="A93" s="11">
        <v>140</v>
      </c>
      <c r="B93" s="17">
        <v>0</v>
      </c>
      <c r="C93" s="17">
        <v>0</v>
      </c>
      <c r="D93" s="17">
        <v>0</v>
      </c>
      <c r="E93" s="17">
        <v>0</v>
      </c>
      <c r="F93" s="19">
        <f t="shared" si="8"/>
        <v>5.0676845164184048</v>
      </c>
      <c r="G93" s="19">
        <f t="shared" si="8"/>
        <v>5.4171800003093296</v>
      </c>
      <c r="H93" s="17">
        <v>0</v>
      </c>
      <c r="I93" s="19">
        <f t="shared" si="8"/>
        <v>5.9414232261457158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9">
        <f t="shared" si="8"/>
        <v>7.8636483875458012</v>
      </c>
      <c r="P93" s="17">
        <v>0</v>
      </c>
      <c r="Q93" s="17">
        <v>0</v>
      </c>
      <c r="R93" s="17">
        <v>0</v>
      </c>
      <c r="S93" s="17">
        <v>0</v>
      </c>
      <c r="T93" s="19">
        <f t="shared" si="8"/>
        <v>9.4363780650549618</v>
      </c>
      <c r="U93" s="19">
        <f t="shared" si="8"/>
        <v>10.13536903283681</v>
      </c>
      <c r="V93" s="17">
        <v>0</v>
      </c>
      <c r="W93" s="17">
        <v>0</v>
      </c>
      <c r="X93" s="17"/>
      <c r="Y93" s="17"/>
      <c r="Z93" s="17"/>
    </row>
    <row r="94" spans="1:26" s="6" customFormat="1" ht="15.75" x14ac:dyDescent="0.25">
      <c r="A94" s="11">
        <v>145</v>
      </c>
      <c r="B94" s="17">
        <v>0</v>
      </c>
      <c r="C94" s="17">
        <v>0</v>
      </c>
      <c r="D94" s="17">
        <v>0</v>
      </c>
      <c r="E94" s="17">
        <v>0</v>
      </c>
      <c r="F94" s="19">
        <f t="shared" si="8"/>
        <v>6.2976249268533167</v>
      </c>
      <c r="G94" s="19">
        <f t="shared" si="8"/>
        <v>6.7319438873259587</v>
      </c>
      <c r="H94" s="17">
        <v>0</v>
      </c>
      <c r="I94" s="19">
        <f t="shared" si="8"/>
        <v>7.3834223280349232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9">
        <f t="shared" si="8"/>
        <v>9.7721766106344568</v>
      </c>
      <c r="P94" s="17">
        <v>0</v>
      </c>
      <c r="Q94" s="17">
        <v>0</v>
      </c>
      <c r="R94" s="17">
        <v>0</v>
      </c>
      <c r="S94" s="17">
        <v>0</v>
      </c>
      <c r="T94" s="19">
        <f t="shared" si="8"/>
        <v>11.726611932761347</v>
      </c>
      <c r="U94" s="19">
        <f t="shared" si="8"/>
        <v>12.595249853706633</v>
      </c>
      <c r="V94" s="17">
        <v>0</v>
      </c>
      <c r="W94" s="17">
        <v>0</v>
      </c>
      <c r="X94" s="17"/>
      <c r="Y94" s="17"/>
      <c r="Z94" s="17"/>
    </row>
    <row r="95" spans="1:26" s="6" customFormat="1" ht="15.75" x14ac:dyDescent="0.25">
      <c r="A95" s="11">
        <v>150</v>
      </c>
      <c r="B95" s="17">
        <v>0</v>
      </c>
      <c r="C95" s="17">
        <v>0</v>
      </c>
      <c r="D95" s="17">
        <v>0</v>
      </c>
      <c r="E95" s="17">
        <v>0</v>
      </c>
      <c r="F95" s="19">
        <f t="shared" si="8"/>
        <v>7.9229473419497438</v>
      </c>
      <c r="G95" s="19">
        <f t="shared" si="8"/>
        <v>8.4693575034635202</v>
      </c>
      <c r="H95" s="17">
        <v>0</v>
      </c>
      <c r="I95" s="19">
        <f t="shared" si="8"/>
        <v>9.2889727457341831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9">
        <f t="shared" si="8"/>
        <v>12.29422863405995</v>
      </c>
      <c r="P95" s="17">
        <v>0</v>
      </c>
      <c r="Q95" s="17">
        <v>0</v>
      </c>
      <c r="R95" s="17">
        <v>0</v>
      </c>
      <c r="S95" s="17">
        <v>0</v>
      </c>
      <c r="T95" s="19">
        <f t="shared" si="8"/>
        <v>14.753074360871938</v>
      </c>
      <c r="U95" s="19">
        <f t="shared" si="8"/>
        <v>15.845894683899488</v>
      </c>
      <c r="V95" s="17">
        <v>0</v>
      </c>
      <c r="W95" s="17">
        <v>0</v>
      </c>
      <c r="X95" s="17"/>
      <c r="Y95" s="17"/>
      <c r="Z95" s="17"/>
    </row>
    <row r="96" spans="1:26" ht="15.75" thickBot="1" x14ac:dyDescent="0.25">
      <c r="A96" s="7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6.5" thickBot="1" x14ac:dyDescent="0.3">
      <c r="A97" s="8" t="s">
        <v>5</v>
      </c>
      <c r="B97" s="16">
        <v>1.9</v>
      </c>
      <c r="C97" s="2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6.5" thickBot="1" x14ac:dyDescent="0.25">
      <c r="A98" s="114" t="s">
        <v>6</v>
      </c>
      <c r="B98" s="116" t="s">
        <v>7</v>
      </c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25"/>
      <c r="O98" s="125"/>
      <c r="P98" s="125"/>
      <c r="Q98" s="125"/>
      <c r="R98" s="125"/>
      <c r="S98" s="125"/>
      <c r="T98" s="125"/>
      <c r="U98" s="125"/>
      <c r="V98" s="125"/>
      <c r="W98" s="126"/>
    </row>
    <row r="99" spans="1:23" ht="16.5" thickBot="1" x14ac:dyDescent="0.3">
      <c r="A99" s="127"/>
      <c r="B99" s="15">
        <v>1</v>
      </c>
      <c r="C99" s="15">
        <v>1.1000000000000001</v>
      </c>
      <c r="D99" s="18">
        <v>1.2</v>
      </c>
      <c r="E99" s="18">
        <v>1.3</v>
      </c>
      <c r="F99" s="15">
        <v>1.4</v>
      </c>
      <c r="G99" s="15">
        <v>1.6</v>
      </c>
      <c r="H99" s="18">
        <v>1.7</v>
      </c>
      <c r="I99" s="18">
        <v>1.9</v>
      </c>
      <c r="J99" s="15">
        <v>2</v>
      </c>
      <c r="K99" s="15">
        <v>2.2999999999999998</v>
      </c>
      <c r="L99" s="15">
        <v>2.5</v>
      </c>
      <c r="M99" s="18">
        <v>2.6</v>
      </c>
      <c r="N99" s="15">
        <v>2.7</v>
      </c>
      <c r="O99" s="15">
        <v>3</v>
      </c>
      <c r="P99" s="15">
        <v>3.2</v>
      </c>
      <c r="Q99" s="15">
        <v>3.3</v>
      </c>
      <c r="R99" s="18">
        <v>3.4</v>
      </c>
      <c r="S99" s="15">
        <v>3.7</v>
      </c>
      <c r="T99" s="15">
        <v>3.9</v>
      </c>
      <c r="U99" s="15">
        <v>4.3</v>
      </c>
      <c r="V99" s="15">
        <v>4.5</v>
      </c>
      <c r="W99" s="15">
        <v>5.5</v>
      </c>
    </row>
    <row r="100" spans="1:23" ht="15.75" x14ac:dyDescent="0.25">
      <c r="A100" s="11">
        <v>15</v>
      </c>
      <c r="B100" s="17">
        <v>0</v>
      </c>
      <c r="C100" s="17">
        <v>0</v>
      </c>
      <c r="D100" s="19">
        <v>0</v>
      </c>
      <c r="E100" s="19">
        <v>0</v>
      </c>
      <c r="F100" s="17">
        <v>0</v>
      </c>
      <c r="G100" s="17">
        <v>0</v>
      </c>
      <c r="H100" s="19">
        <v>0</v>
      </c>
      <c r="I100" s="19">
        <v>0</v>
      </c>
      <c r="J100" s="17">
        <v>0</v>
      </c>
      <c r="K100" s="17">
        <v>0</v>
      </c>
      <c r="L100" s="17">
        <v>0</v>
      </c>
      <c r="M100" s="19">
        <v>0</v>
      </c>
      <c r="N100" s="17">
        <v>0</v>
      </c>
      <c r="O100" s="17">
        <v>0</v>
      </c>
      <c r="P100" s="17">
        <v>0</v>
      </c>
      <c r="Q100" s="17">
        <v>0</v>
      </c>
      <c r="R100" s="19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</row>
    <row r="101" spans="1:23" ht="15.75" x14ac:dyDescent="0.25">
      <c r="A101" s="11">
        <v>20</v>
      </c>
      <c r="B101" s="17">
        <v>0</v>
      </c>
      <c r="C101" s="17">
        <v>0</v>
      </c>
      <c r="D101" s="19">
        <v>0</v>
      </c>
      <c r="E101" s="19">
        <v>0</v>
      </c>
      <c r="F101" s="17">
        <v>0</v>
      </c>
      <c r="G101" s="17">
        <v>0</v>
      </c>
      <c r="H101" s="19">
        <v>0</v>
      </c>
      <c r="I101" s="19">
        <v>0</v>
      </c>
      <c r="J101" s="17">
        <v>0</v>
      </c>
      <c r="K101" s="17">
        <v>0</v>
      </c>
      <c r="L101" s="17">
        <v>0</v>
      </c>
      <c r="M101" s="19">
        <v>0</v>
      </c>
      <c r="N101" s="17">
        <v>0</v>
      </c>
      <c r="O101" s="17">
        <v>0</v>
      </c>
      <c r="P101" s="17">
        <v>0</v>
      </c>
      <c r="Q101" s="17">
        <v>0</v>
      </c>
      <c r="R101" s="19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</row>
    <row r="102" spans="1:23" ht="15.75" x14ac:dyDescent="0.25">
      <c r="A102" s="11">
        <v>25</v>
      </c>
      <c r="B102" s="17">
        <v>0</v>
      </c>
      <c r="C102" s="17">
        <v>0</v>
      </c>
      <c r="D102" s="19">
        <v>0</v>
      </c>
      <c r="E102" s="19">
        <v>0</v>
      </c>
      <c r="F102" s="17">
        <v>0</v>
      </c>
      <c r="G102" s="17">
        <v>0</v>
      </c>
      <c r="H102" s="19">
        <v>0</v>
      </c>
      <c r="I102" s="19">
        <v>0</v>
      </c>
      <c r="J102" s="17">
        <v>0</v>
      </c>
      <c r="K102" s="17">
        <v>0</v>
      </c>
      <c r="L102" s="17">
        <v>0</v>
      </c>
      <c r="M102" s="19">
        <v>0</v>
      </c>
      <c r="N102" s="17">
        <v>0</v>
      </c>
      <c r="O102" s="17">
        <v>0</v>
      </c>
      <c r="P102" s="17">
        <v>0</v>
      </c>
      <c r="Q102" s="17">
        <v>0</v>
      </c>
      <c r="R102" s="19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</row>
    <row r="103" spans="1:23" ht="15.75" x14ac:dyDescent="0.25">
      <c r="A103" s="11">
        <v>30</v>
      </c>
      <c r="B103" s="17">
        <v>0</v>
      </c>
      <c r="C103" s="17">
        <v>0</v>
      </c>
      <c r="D103" s="19">
        <v>0</v>
      </c>
      <c r="E103" s="19">
        <v>0</v>
      </c>
      <c r="F103" s="17">
        <v>0</v>
      </c>
      <c r="G103" s="17">
        <v>0</v>
      </c>
      <c r="H103" s="19">
        <v>0</v>
      </c>
      <c r="I103" s="19">
        <v>0</v>
      </c>
      <c r="J103" s="17">
        <v>0</v>
      </c>
      <c r="K103" s="17">
        <v>0</v>
      </c>
      <c r="L103" s="17">
        <v>0</v>
      </c>
      <c r="M103" s="19">
        <v>0</v>
      </c>
      <c r="N103" s="17">
        <v>0</v>
      </c>
      <c r="O103" s="17">
        <v>0</v>
      </c>
      <c r="P103" s="17">
        <v>0</v>
      </c>
      <c r="Q103" s="17">
        <v>0</v>
      </c>
      <c r="R103" s="19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</row>
    <row r="104" spans="1:23" ht="15.75" x14ac:dyDescent="0.25">
      <c r="A104" s="11">
        <v>35</v>
      </c>
      <c r="B104" s="17">
        <v>0</v>
      </c>
      <c r="C104" s="17">
        <v>0</v>
      </c>
      <c r="D104" s="19">
        <v>0</v>
      </c>
      <c r="E104" s="19">
        <v>0</v>
      </c>
      <c r="F104" s="17">
        <v>0</v>
      </c>
      <c r="G104" s="17">
        <v>0</v>
      </c>
      <c r="H104" s="19">
        <v>0</v>
      </c>
      <c r="I104" s="19">
        <v>0</v>
      </c>
      <c r="J104" s="17">
        <v>0</v>
      </c>
      <c r="K104" s="17">
        <v>0</v>
      </c>
      <c r="L104" s="17">
        <v>0</v>
      </c>
      <c r="M104" s="19">
        <v>0</v>
      </c>
      <c r="N104" s="17">
        <v>0</v>
      </c>
      <c r="O104" s="17">
        <v>0</v>
      </c>
      <c r="P104" s="17">
        <v>0</v>
      </c>
      <c r="Q104" s="17">
        <v>0</v>
      </c>
      <c r="R104" s="19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</row>
    <row r="105" spans="1:23" ht="15.75" x14ac:dyDescent="0.25">
      <c r="A105" s="11">
        <v>40</v>
      </c>
      <c r="B105" s="17">
        <v>0</v>
      </c>
      <c r="C105" s="17">
        <v>0</v>
      </c>
      <c r="D105" s="19">
        <v>0</v>
      </c>
      <c r="E105" s="19">
        <v>0</v>
      </c>
      <c r="F105" s="17">
        <v>0</v>
      </c>
      <c r="G105" s="17">
        <v>0</v>
      </c>
      <c r="H105" s="19">
        <v>0</v>
      </c>
      <c r="I105" s="19">
        <v>0</v>
      </c>
      <c r="J105" s="17">
        <v>0</v>
      </c>
      <c r="K105" s="17">
        <v>0</v>
      </c>
      <c r="L105" s="17">
        <v>0</v>
      </c>
      <c r="M105" s="19">
        <v>0</v>
      </c>
      <c r="N105" s="17">
        <v>0</v>
      </c>
      <c r="O105" s="17">
        <v>0</v>
      </c>
      <c r="P105" s="17">
        <v>0</v>
      </c>
      <c r="Q105" s="17">
        <v>0</v>
      </c>
      <c r="R105" s="19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</row>
    <row r="106" spans="1:23" ht="15.75" x14ac:dyDescent="0.25">
      <c r="A106" s="11">
        <v>45</v>
      </c>
      <c r="B106" s="17">
        <v>0</v>
      </c>
      <c r="C106" s="17">
        <v>0</v>
      </c>
      <c r="D106" s="19">
        <v>0</v>
      </c>
      <c r="E106" s="19">
        <v>0</v>
      </c>
      <c r="F106" s="17">
        <v>0</v>
      </c>
      <c r="G106" s="17">
        <v>0</v>
      </c>
      <c r="H106" s="19">
        <v>0</v>
      </c>
      <c r="I106" s="19">
        <v>0</v>
      </c>
      <c r="J106" s="17">
        <v>0</v>
      </c>
      <c r="K106" s="17">
        <v>0</v>
      </c>
      <c r="L106" s="17">
        <v>0</v>
      </c>
      <c r="M106" s="19">
        <v>0</v>
      </c>
      <c r="N106" s="17">
        <v>0</v>
      </c>
      <c r="O106" s="17">
        <v>0</v>
      </c>
      <c r="P106" s="17">
        <v>0</v>
      </c>
      <c r="Q106" s="17">
        <v>0</v>
      </c>
      <c r="R106" s="19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</row>
    <row r="107" spans="1:23" ht="15.75" x14ac:dyDescent="0.25">
      <c r="A107" s="11">
        <v>50</v>
      </c>
      <c r="B107" s="17">
        <v>0</v>
      </c>
      <c r="C107" s="17">
        <v>0</v>
      </c>
      <c r="D107" s="19">
        <v>0</v>
      </c>
      <c r="E107" s="19">
        <v>0</v>
      </c>
      <c r="F107" s="17">
        <v>0</v>
      </c>
      <c r="G107" s="17">
        <v>0</v>
      </c>
      <c r="H107" s="19">
        <v>0</v>
      </c>
      <c r="I107" s="19">
        <v>0</v>
      </c>
      <c r="J107" s="17">
        <v>0</v>
      </c>
      <c r="K107" s="17">
        <v>0</v>
      </c>
      <c r="L107" s="17">
        <v>0</v>
      </c>
      <c r="M107" s="19">
        <v>0</v>
      </c>
      <c r="N107" s="17">
        <v>0</v>
      </c>
      <c r="O107" s="17">
        <v>0</v>
      </c>
      <c r="P107" s="17">
        <v>0</v>
      </c>
      <c r="Q107" s="17">
        <v>0</v>
      </c>
      <c r="R107" s="19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</row>
    <row r="108" spans="1:23" ht="15.75" x14ac:dyDescent="0.25">
      <c r="A108" s="11">
        <v>55</v>
      </c>
      <c r="B108" s="17">
        <v>0</v>
      </c>
      <c r="C108" s="17">
        <v>0</v>
      </c>
      <c r="D108" s="19">
        <v>0</v>
      </c>
      <c r="E108" s="19">
        <v>0</v>
      </c>
      <c r="F108" s="17">
        <v>0</v>
      </c>
      <c r="G108" s="17">
        <v>0</v>
      </c>
      <c r="H108" s="19">
        <v>0</v>
      </c>
      <c r="I108" s="19">
        <v>0</v>
      </c>
      <c r="J108" s="17">
        <v>0</v>
      </c>
      <c r="K108" s="17">
        <v>0</v>
      </c>
      <c r="L108" s="17">
        <v>0</v>
      </c>
      <c r="M108" s="19">
        <v>0</v>
      </c>
      <c r="N108" s="17">
        <v>0</v>
      </c>
      <c r="O108" s="17">
        <v>0</v>
      </c>
      <c r="P108" s="17">
        <v>0</v>
      </c>
      <c r="Q108" s="17">
        <v>0</v>
      </c>
      <c r="R108" s="19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</row>
    <row r="109" spans="1:23" ht="15.75" x14ac:dyDescent="0.25">
      <c r="A109" s="11">
        <v>60</v>
      </c>
      <c r="B109" s="17">
        <v>0</v>
      </c>
      <c r="C109" s="17">
        <v>0</v>
      </c>
      <c r="D109" s="19">
        <v>0</v>
      </c>
      <c r="E109" s="19">
        <v>0</v>
      </c>
      <c r="F109" s="17">
        <v>0</v>
      </c>
      <c r="G109" s="17">
        <v>0</v>
      </c>
      <c r="H109" s="19">
        <v>0</v>
      </c>
      <c r="I109" s="19">
        <v>0</v>
      </c>
      <c r="J109" s="17">
        <v>0</v>
      </c>
      <c r="K109" s="17">
        <v>0</v>
      </c>
      <c r="L109" s="17">
        <v>0</v>
      </c>
      <c r="M109" s="19">
        <v>0</v>
      </c>
      <c r="N109" s="17">
        <v>0</v>
      </c>
      <c r="O109" s="17">
        <v>0</v>
      </c>
      <c r="P109" s="17">
        <v>0</v>
      </c>
      <c r="Q109" s="17">
        <v>0</v>
      </c>
      <c r="R109" s="19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</row>
    <row r="110" spans="1:23" ht="15.75" x14ac:dyDescent="0.25">
      <c r="A110" s="11">
        <v>65</v>
      </c>
      <c r="B110" s="17">
        <v>0</v>
      </c>
      <c r="C110" s="17">
        <v>0</v>
      </c>
      <c r="D110" s="19">
        <v>0</v>
      </c>
      <c r="E110" s="19">
        <v>0</v>
      </c>
      <c r="F110" s="17">
        <v>0</v>
      </c>
      <c r="G110" s="17">
        <v>0</v>
      </c>
      <c r="H110" s="19">
        <v>0</v>
      </c>
      <c r="I110" s="19">
        <v>0</v>
      </c>
      <c r="J110" s="17">
        <v>0</v>
      </c>
      <c r="K110" s="17">
        <v>0</v>
      </c>
      <c r="L110" s="17">
        <v>0</v>
      </c>
      <c r="M110" s="19">
        <v>0</v>
      </c>
      <c r="N110" s="17">
        <v>0</v>
      </c>
      <c r="O110" s="17">
        <v>0</v>
      </c>
      <c r="P110" s="17">
        <v>0</v>
      </c>
      <c r="Q110" s="17">
        <v>0</v>
      </c>
      <c r="R110" s="19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</row>
    <row r="111" spans="1:23" ht="15.75" x14ac:dyDescent="0.25">
      <c r="A111" s="11">
        <v>70</v>
      </c>
      <c r="B111" s="17">
        <v>0</v>
      </c>
      <c r="C111" s="17">
        <v>0</v>
      </c>
      <c r="D111" s="19">
        <v>0</v>
      </c>
      <c r="E111" s="19">
        <v>0</v>
      </c>
      <c r="F111" s="17">
        <v>0</v>
      </c>
      <c r="G111" s="17">
        <v>0</v>
      </c>
      <c r="H111" s="19">
        <v>0</v>
      </c>
      <c r="I111" s="19">
        <v>0</v>
      </c>
      <c r="J111" s="17">
        <v>0</v>
      </c>
      <c r="K111" s="17">
        <v>0</v>
      </c>
      <c r="L111" s="17">
        <v>0</v>
      </c>
      <c r="M111" s="19">
        <v>0</v>
      </c>
      <c r="N111" s="17">
        <v>0</v>
      </c>
      <c r="O111" s="17">
        <v>0</v>
      </c>
      <c r="P111" s="17">
        <v>0</v>
      </c>
      <c r="Q111" s="17">
        <v>0</v>
      </c>
      <c r="R111" s="19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</row>
    <row r="112" spans="1:23" ht="15.75" x14ac:dyDescent="0.25">
      <c r="A112" s="11">
        <v>75</v>
      </c>
      <c r="B112" s="17">
        <v>0</v>
      </c>
      <c r="C112" s="17">
        <v>0</v>
      </c>
      <c r="D112" s="19">
        <v>0</v>
      </c>
      <c r="E112" s="19">
        <v>0</v>
      </c>
      <c r="F112" s="17">
        <v>0</v>
      </c>
      <c r="G112" s="17">
        <v>0</v>
      </c>
      <c r="H112" s="19">
        <v>0</v>
      </c>
      <c r="I112" s="19">
        <v>0</v>
      </c>
      <c r="J112" s="17">
        <v>0</v>
      </c>
      <c r="K112" s="17">
        <v>0</v>
      </c>
      <c r="L112" s="17">
        <v>0</v>
      </c>
      <c r="M112" s="19">
        <v>0</v>
      </c>
      <c r="N112" s="17">
        <v>0</v>
      </c>
      <c r="O112" s="17">
        <v>0</v>
      </c>
      <c r="P112" s="17">
        <v>0</v>
      </c>
      <c r="Q112" s="17">
        <v>0</v>
      </c>
      <c r="R112" s="19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</row>
    <row r="113" spans="1:26" ht="15.75" x14ac:dyDescent="0.25">
      <c r="A113" s="11">
        <v>80</v>
      </c>
      <c r="B113" s="17">
        <v>0</v>
      </c>
      <c r="C113" s="17">
        <v>0</v>
      </c>
      <c r="D113" s="19">
        <v>0</v>
      </c>
      <c r="E113" s="19">
        <v>0</v>
      </c>
      <c r="F113" s="17">
        <v>0</v>
      </c>
      <c r="G113" s="17">
        <v>0</v>
      </c>
      <c r="H113" s="19">
        <v>0</v>
      </c>
      <c r="I113" s="19">
        <v>0</v>
      </c>
      <c r="J113" s="17">
        <v>0</v>
      </c>
      <c r="K113" s="17">
        <v>0</v>
      </c>
      <c r="L113" s="17">
        <v>0</v>
      </c>
      <c r="M113" s="19">
        <v>0</v>
      </c>
      <c r="N113" s="17">
        <v>0</v>
      </c>
      <c r="O113" s="17">
        <v>0</v>
      </c>
      <c r="P113" s="17">
        <v>0</v>
      </c>
      <c r="Q113" s="17">
        <v>0</v>
      </c>
      <c r="R113" s="19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</row>
    <row r="114" spans="1:26" ht="15.75" x14ac:dyDescent="0.25">
      <c r="A114" s="11">
        <v>85</v>
      </c>
      <c r="B114" s="17">
        <v>0</v>
      </c>
      <c r="C114" s="17">
        <v>0</v>
      </c>
      <c r="D114" s="19">
        <v>0</v>
      </c>
      <c r="E114" s="19">
        <v>0</v>
      </c>
      <c r="F114" s="17">
        <v>0</v>
      </c>
      <c r="G114" s="17">
        <v>0</v>
      </c>
      <c r="H114" s="19">
        <v>0</v>
      </c>
      <c r="I114" s="19">
        <v>0</v>
      </c>
      <c r="J114" s="17">
        <v>0</v>
      </c>
      <c r="K114" s="17">
        <v>0</v>
      </c>
      <c r="L114" s="17">
        <v>0</v>
      </c>
      <c r="M114" s="19">
        <v>0</v>
      </c>
      <c r="N114" s="17">
        <v>0</v>
      </c>
      <c r="O114" s="17">
        <v>0</v>
      </c>
      <c r="P114" s="17">
        <v>0</v>
      </c>
      <c r="Q114" s="17">
        <v>0</v>
      </c>
      <c r="R114" s="19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</row>
    <row r="115" spans="1:26" ht="15.75" x14ac:dyDescent="0.25">
      <c r="A115" s="20">
        <v>90</v>
      </c>
      <c r="B115" s="21">
        <v>0</v>
      </c>
      <c r="C115" s="21">
        <v>0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Z115" s="29"/>
    </row>
    <row r="116" spans="1:26" ht="15.75" x14ac:dyDescent="0.25">
      <c r="A116" s="11">
        <v>95</v>
      </c>
      <c r="B116" s="17">
        <v>0</v>
      </c>
      <c r="C116" s="17">
        <v>0</v>
      </c>
      <c r="D116" s="19">
        <f t="shared" ref="D116:R127" si="10">($B$97+D$99)*(1-TAN(RADIANS(180-$A116)/2))/TAN(RADIANS(180-$A116)/2)</f>
        <v>0.28305635331474133</v>
      </c>
      <c r="E116" s="19">
        <f t="shared" si="10"/>
        <v>0.29218720342166854</v>
      </c>
      <c r="F116" s="17">
        <v>0</v>
      </c>
      <c r="G116" s="17">
        <v>0</v>
      </c>
      <c r="H116" s="19">
        <f t="shared" si="10"/>
        <v>0.32871060384937706</v>
      </c>
      <c r="I116" s="24">
        <f t="shared" si="10"/>
        <v>0.34697230406323137</v>
      </c>
      <c r="J116" s="17">
        <v>0</v>
      </c>
      <c r="K116" s="17">
        <v>0</v>
      </c>
      <c r="L116" s="17">
        <v>0</v>
      </c>
      <c r="M116" s="19">
        <f t="shared" si="10"/>
        <v>0.41088825481172137</v>
      </c>
      <c r="N116" s="17">
        <v>0</v>
      </c>
      <c r="O116" s="17">
        <v>0</v>
      </c>
      <c r="P116" s="17">
        <v>0</v>
      </c>
      <c r="Q116" s="17">
        <v>0</v>
      </c>
      <c r="R116" s="19">
        <f t="shared" si="10"/>
        <v>0.48393505566713851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</row>
    <row r="117" spans="1:26" ht="15.75" x14ac:dyDescent="0.25">
      <c r="A117" s="11">
        <v>100</v>
      </c>
      <c r="B117" s="17">
        <v>0</v>
      </c>
      <c r="C117" s="17">
        <v>0</v>
      </c>
      <c r="D117" s="19">
        <f t="shared" ref="D117:M117" si="11">($B$97+D$99)*(1-TAN(RADIANS(180-$A117)/2))/TAN(RADIANS(180-$A117)/2)</f>
        <v>0.59443613704205123</v>
      </c>
      <c r="E117" s="19">
        <f t="shared" si="11"/>
        <v>0.61361149630147227</v>
      </c>
      <c r="F117" s="17">
        <v>0</v>
      </c>
      <c r="G117" s="17">
        <v>0</v>
      </c>
      <c r="H117" s="19">
        <f t="shared" si="11"/>
        <v>0.69031293333915611</v>
      </c>
      <c r="I117" s="24">
        <f t="shared" si="11"/>
        <v>0.72866365185799831</v>
      </c>
      <c r="J117" s="17">
        <v>0</v>
      </c>
      <c r="K117" s="17">
        <v>0</v>
      </c>
      <c r="L117" s="17">
        <v>0</v>
      </c>
      <c r="M117" s="19">
        <f t="shared" si="11"/>
        <v>0.86289116667394539</v>
      </c>
      <c r="N117" s="17">
        <v>0</v>
      </c>
      <c r="O117" s="17">
        <v>0</v>
      </c>
      <c r="P117" s="17">
        <v>0</v>
      </c>
      <c r="Q117" s="17">
        <v>0</v>
      </c>
      <c r="R117" s="19">
        <f t="shared" si="10"/>
        <v>1.0162940407493133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</row>
    <row r="118" spans="1:26" ht="15.75" x14ac:dyDescent="0.25">
      <c r="A118" s="11">
        <v>105</v>
      </c>
      <c r="B118" s="17">
        <v>0</v>
      </c>
      <c r="C118" s="17">
        <v>0</v>
      </c>
      <c r="D118" s="19">
        <f t="shared" si="10"/>
        <v>0.93999865580773756</v>
      </c>
      <c r="E118" s="19">
        <f t="shared" si="10"/>
        <v>0.97032119309185827</v>
      </c>
      <c r="F118" s="17">
        <v>0</v>
      </c>
      <c r="G118" s="17">
        <v>0</v>
      </c>
      <c r="H118" s="19">
        <f t="shared" si="10"/>
        <v>1.0916113422283404</v>
      </c>
      <c r="I118" s="24">
        <f t="shared" si="10"/>
        <v>1.1522564167965816</v>
      </c>
      <c r="J118" s="17">
        <v>0</v>
      </c>
      <c r="K118" s="17">
        <v>0</v>
      </c>
      <c r="L118" s="17">
        <v>0</v>
      </c>
      <c r="M118" s="19">
        <f t="shared" si="10"/>
        <v>1.3645141777854255</v>
      </c>
      <c r="N118" s="17">
        <v>0</v>
      </c>
      <c r="O118" s="17">
        <v>0</v>
      </c>
      <c r="P118" s="17">
        <v>0</v>
      </c>
      <c r="Q118" s="17">
        <v>0</v>
      </c>
      <c r="R118" s="19">
        <f t="shared" si="10"/>
        <v>1.6070944760583901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</row>
    <row r="119" spans="1:26" ht="15.75" x14ac:dyDescent="0.25">
      <c r="A119" s="11">
        <v>110</v>
      </c>
      <c r="B119" s="17">
        <v>0</v>
      </c>
      <c r="C119" s="17">
        <v>0</v>
      </c>
      <c r="D119" s="19">
        <f t="shared" si="10"/>
        <v>1.3272588209005551</v>
      </c>
      <c r="E119" s="19">
        <f t="shared" si="10"/>
        <v>1.3700736215747669</v>
      </c>
      <c r="F119" s="17">
        <v>0</v>
      </c>
      <c r="G119" s="17">
        <v>0</v>
      </c>
      <c r="H119" s="19">
        <f t="shared" si="10"/>
        <v>1.5413328242716127</v>
      </c>
      <c r="I119" s="24">
        <f t="shared" si="10"/>
        <v>1.6269624256200357</v>
      </c>
      <c r="J119" s="17">
        <v>0</v>
      </c>
      <c r="K119" s="17">
        <v>0</v>
      </c>
      <c r="L119" s="17">
        <v>0</v>
      </c>
      <c r="M119" s="19">
        <f t="shared" si="10"/>
        <v>1.926666030339516</v>
      </c>
      <c r="N119" s="17">
        <v>0</v>
      </c>
      <c r="O119" s="17">
        <v>0</v>
      </c>
      <c r="P119" s="17">
        <v>0</v>
      </c>
      <c r="Q119" s="17">
        <v>0</v>
      </c>
      <c r="R119" s="19">
        <f t="shared" si="10"/>
        <v>2.2691844357332074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</row>
    <row r="120" spans="1:26" ht="15.75" x14ac:dyDescent="0.25">
      <c r="A120" s="11">
        <v>115</v>
      </c>
      <c r="B120" s="17">
        <v>0</v>
      </c>
      <c r="C120" s="17">
        <v>0</v>
      </c>
      <c r="D120" s="19">
        <f t="shared" si="10"/>
        <v>1.7660252890642198</v>
      </c>
      <c r="E120" s="19">
        <f t="shared" si="10"/>
        <v>1.822993846775969</v>
      </c>
      <c r="F120" s="17">
        <v>0</v>
      </c>
      <c r="G120" s="17">
        <v>0</v>
      </c>
      <c r="H120" s="19">
        <f t="shared" si="10"/>
        <v>2.0508680776229649</v>
      </c>
      <c r="I120" s="24">
        <f t="shared" si="10"/>
        <v>2.1648051930464631</v>
      </c>
      <c r="J120" s="17">
        <v>0</v>
      </c>
      <c r="K120" s="17">
        <v>0</v>
      </c>
      <c r="L120" s="17">
        <v>0</v>
      </c>
      <c r="M120" s="19">
        <f t="shared" si="10"/>
        <v>2.5635850970287062</v>
      </c>
      <c r="N120" s="17">
        <v>0</v>
      </c>
      <c r="O120" s="17">
        <v>0</v>
      </c>
      <c r="P120" s="17">
        <v>0</v>
      </c>
      <c r="Q120" s="17">
        <v>0</v>
      </c>
      <c r="R120" s="19">
        <f t="shared" si="10"/>
        <v>3.0193335587226984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</row>
    <row r="121" spans="1:26" ht="15.75" x14ac:dyDescent="0.25">
      <c r="A121" s="11">
        <v>120</v>
      </c>
      <c r="B121" s="17">
        <v>0</v>
      </c>
      <c r="C121" s="17">
        <v>0</v>
      </c>
      <c r="D121" s="19">
        <f t="shared" si="10"/>
        <v>2.2693575034635201</v>
      </c>
      <c r="E121" s="19">
        <f t="shared" si="10"/>
        <v>2.3425625842204081</v>
      </c>
      <c r="F121" s="17">
        <v>0</v>
      </c>
      <c r="G121" s="17">
        <v>0</v>
      </c>
      <c r="H121" s="19">
        <f t="shared" si="10"/>
        <v>2.6353829072479584</v>
      </c>
      <c r="I121" s="24">
        <f t="shared" si="10"/>
        <v>2.781793068761734</v>
      </c>
      <c r="J121" s="17">
        <v>0</v>
      </c>
      <c r="K121" s="17">
        <v>0</v>
      </c>
      <c r="L121" s="17">
        <v>0</v>
      </c>
      <c r="M121" s="19">
        <f t="shared" si="10"/>
        <v>3.2942286340599485</v>
      </c>
      <c r="N121" s="17">
        <v>0</v>
      </c>
      <c r="O121" s="17">
        <v>0</v>
      </c>
      <c r="P121" s="17">
        <v>0</v>
      </c>
      <c r="Q121" s="17">
        <v>0</v>
      </c>
      <c r="R121" s="19">
        <f t="shared" si="10"/>
        <v>3.8798692801150501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</row>
    <row r="122" spans="1:26" ht="15.75" x14ac:dyDescent="0.25">
      <c r="A122" s="11">
        <v>125</v>
      </c>
      <c r="B122" s="17">
        <v>0</v>
      </c>
      <c r="C122" s="17">
        <v>0</v>
      </c>
      <c r="D122" s="19">
        <f t="shared" si="10"/>
        <v>2.8550445936106144</v>
      </c>
      <c r="E122" s="19">
        <f t="shared" si="10"/>
        <v>2.9471428063077316</v>
      </c>
      <c r="F122" s="17">
        <v>0</v>
      </c>
      <c r="G122" s="17">
        <v>0</v>
      </c>
      <c r="H122" s="19">
        <f t="shared" si="10"/>
        <v>3.3155356570961976</v>
      </c>
      <c r="I122" s="24">
        <f t="shared" si="10"/>
        <v>3.4997320824904308</v>
      </c>
      <c r="J122" s="17">
        <v>0</v>
      </c>
      <c r="K122" s="17">
        <v>0</v>
      </c>
      <c r="L122" s="17">
        <v>0</v>
      </c>
      <c r="M122" s="19">
        <f t="shared" si="10"/>
        <v>4.1444195713702472</v>
      </c>
      <c r="N122" s="17">
        <v>0</v>
      </c>
      <c r="O122" s="17">
        <v>0</v>
      </c>
      <c r="P122" s="17">
        <v>0</v>
      </c>
      <c r="Q122" s="17">
        <v>0</v>
      </c>
      <c r="R122" s="19">
        <f t="shared" si="10"/>
        <v>4.88120527294718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</row>
    <row r="123" spans="1:26" ht="15.75" x14ac:dyDescent="0.25">
      <c r="A123" s="11">
        <v>130</v>
      </c>
      <c r="B123" s="17">
        <v>0</v>
      </c>
      <c r="C123" s="17">
        <v>0</v>
      </c>
      <c r="D123" s="19">
        <f t="shared" si="10"/>
        <v>3.5479714535796321</v>
      </c>
      <c r="E123" s="19">
        <f t="shared" si="10"/>
        <v>3.6624221456305883</v>
      </c>
      <c r="F123" s="17">
        <v>0</v>
      </c>
      <c r="G123" s="17">
        <v>0</v>
      </c>
      <c r="H123" s="19">
        <f t="shared" si="10"/>
        <v>4.1202249138344111</v>
      </c>
      <c r="I123" s="24">
        <f t="shared" si="10"/>
        <v>4.3491262979363228</v>
      </c>
      <c r="J123" s="17">
        <v>0</v>
      </c>
      <c r="K123" s="17">
        <v>0</v>
      </c>
      <c r="L123" s="17">
        <v>0</v>
      </c>
      <c r="M123" s="19">
        <f t="shared" si="10"/>
        <v>5.1502811422930144</v>
      </c>
      <c r="N123" s="17">
        <v>0</v>
      </c>
      <c r="O123" s="17">
        <v>0</v>
      </c>
      <c r="P123" s="17">
        <v>0</v>
      </c>
      <c r="Q123" s="17">
        <v>0</v>
      </c>
      <c r="R123" s="19">
        <f t="shared" si="10"/>
        <v>6.0658866787006609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</row>
    <row r="124" spans="1:26" ht="15.75" x14ac:dyDescent="0.25">
      <c r="A124" s="11">
        <v>135</v>
      </c>
      <c r="B124" s="17">
        <v>0</v>
      </c>
      <c r="C124" s="17">
        <v>0</v>
      </c>
      <c r="D124" s="19">
        <f t="shared" si="10"/>
        <v>4.3840620433565949</v>
      </c>
      <c r="E124" s="19">
        <f t="shared" si="10"/>
        <v>4.525483399593905</v>
      </c>
      <c r="F124" s="17">
        <v>0</v>
      </c>
      <c r="G124" s="17">
        <v>0</v>
      </c>
      <c r="H124" s="19">
        <f t="shared" si="10"/>
        <v>5.0911688245431428</v>
      </c>
      <c r="I124" s="24">
        <f t="shared" si="10"/>
        <v>5.3740115370177612</v>
      </c>
      <c r="J124" s="17">
        <v>0</v>
      </c>
      <c r="K124" s="17">
        <v>0</v>
      </c>
      <c r="L124" s="17">
        <v>0</v>
      </c>
      <c r="M124" s="19">
        <f t="shared" si="10"/>
        <v>6.3639610306789285</v>
      </c>
      <c r="N124" s="17">
        <v>0</v>
      </c>
      <c r="O124" s="17">
        <v>0</v>
      </c>
      <c r="P124" s="17">
        <v>0</v>
      </c>
      <c r="Q124" s="17">
        <v>0</v>
      </c>
      <c r="R124" s="19">
        <f t="shared" si="10"/>
        <v>7.4953318805774032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</row>
    <row r="125" spans="1:26" ht="15.75" x14ac:dyDescent="0.25">
      <c r="A125" s="11">
        <v>140</v>
      </c>
      <c r="B125" s="17">
        <v>0</v>
      </c>
      <c r="C125" s="17">
        <v>0</v>
      </c>
      <c r="D125" s="19">
        <f t="shared" si="10"/>
        <v>5.4171800003093287</v>
      </c>
      <c r="E125" s="19">
        <f t="shared" si="10"/>
        <v>5.5919277422547919</v>
      </c>
      <c r="F125" s="17">
        <v>0</v>
      </c>
      <c r="G125" s="17">
        <v>0</v>
      </c>
      <c r="H125" s="19">
        <f t="shared" si="10"/>
        <v>6.2909187100366397</v>
      </c>
      <c r="I125" s="24">
        <f t="shared" si="10"/>
        <v>6.6404141939275645</v>
      </c>
      <c r="J125" s="17">
        <v>0</v>
      </c>
      <c r="K125" s="17">
        <v>0</v>
      </c>
      <c r="L125" s="17">
        <v>0</v>
      </c>
      <c r="M125" s="19">
        <f t="shared" si="10"/>
        <v>7.8636483875458012</v>
      </c>
      <c r="N125" s="17">
        <v>0</v>
      </c>
      <c r="O125" s="17">
        <v>0</v>
      </c>
      <c r="P125" s="17">
        <v>0</v>
      </c>
      <c r="Q125" s="17">
        <v>0</v>
      </c>
      <c r="R125" s="19">
        <f t="shared" si="10"/>
        <v>9.2616303231094985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</row>
    <row r="126" spans="1:26" ht="15.75" x14ac:dyDescent="0.25">
      <c r="A126" s="11">
        <v>145</v>
      </c>
      <c r="B126" s="17">
        <v>0</v>
      </c>
      <c r="C126" s="17">
        <v>0</v>
      </c>
      <c r="D126" s="19">
        <f t="shared" si="10"/>
        <v>6.7319438873259587</v>
      </c>
      <c r="E126" s="19">
        <f t="shared" si="10"/>
        <v>6.9491033675622802</v>
      </c>
      <c r="F126" s="17">
        <v>0</v>
      </c>
      <c r="G126" s="17">
        <v>0</v>
      </c>
      <c r="H126" s="19">
        <f t="shared" si="10"/>
        <v>7.8177412885075643</v>
      </c>
      <c r="I126" s="24">
        <f t="shared" si="10"/>
        <v>8.2520602489802073</v>
      </c>
      <c r="J126" s="17">
        <v>0</v>
      </c>
      <c r="K126" s="17">
        <v>0</v>
      </c>
      <c r="L126" s="17">
        <v>0</v>
      </c>
      <c r="M126" s="19">
        <f t="shared" si="10"/>
        <v>9.7721766106344568</v>
      </c>
      <c r="N126" s="17">
        <v>0</v>
      </c>
      <c r="O126" s="17">
        <v>0</v>
      </c>
      <c r="P126" s="17">
        <v>0</v>
      </c>
      <c r="Q126" s="17">
        <v>0</v>
      </c>
      <c r="R126" s="19">
        <f t="shared" si="10"/>
        <v>11.509452452525027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</row>
    <row r="127" spans="1:26" ht="15.75" x14ac:dyDescent="0.25">
      <c r="A127" s="11">
        <v>150</v>
      </c>
      <c r="B127" s="17">
        <v>0</v>
      </c>
      <c r="C127" s="17">
        <v>0</v>
      </c>
      <c r="D127" s="24">
        <f t="shared" si="10"/>
        <v>8.4693575034635185</v>
      </c>
      <c r="E127" s="24">
        <f t="shared" si="10"/>
        <v>8.7425625842204084</v>
      </c>
      <c r="F127" s="17">
        <v>0</v>
      </c>
      <c r="G127" s="17">
        <v>0</v>
      </c>
      <c r="H127" s="24">
        <f t="shared" si="10"/>
        <v>9.8353829072479577</v>
      </c>
      <c r="I127" s="24">
        <f t="shared" si="10"/>
        <v>10.381793068761734</v>
      </c>
      <c r="J127" s="17">
        <v>0</v>
      </c>
      <c r="K127" s="17">
        <v>0</v>
      </c>
      <c r="L127" s="17">
        <v>0</v>
      </c>
      <c r="M127" s="24">
        <f t="shared" si="10"/>
        <v>12.29422863405995</v>
      </c>
      <c r="N127" s="17">
        <v>0</v>
      </c>
      <c r="O127" s="17">
        <v>0</v>
      </c>
      <c r="P127" s="17">
        <v>0</v>
      </c>
      <c r="Q127" s="17">
        <v>0</v>
      </c>
      <c r="R127" s="24">
        <f t="shared" si="10"/>
        <v>14.47986928011505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</row>
    <row r="128" spans="1:26" ht="15.75" thickBot="1" x14ac:dyDescent="0.25">
      <c r="A128" s="7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6.5" thickBot="1" x14ac:dyDescent="0.3">
      <c r="A129" s="8" t="s">
        <v>5</v>
      </c>
      <c r="B129" s="16">
        <v>2.6</v>
      </c>
      <c r="C129" s="2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6.5" thickBot="1" x14ac:dyDescent="0.25">
      <c r="A130" s="114" t="s">
        <v>6</v>
      </c>
      <c r="B130" s="116" t="s">
        <v>7</v>
      </c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25"/>
      <c r="O130" s="125"/>
      <c r="P130" s="125"/>
      <c r="Q130" s="125"/>
      <c r="R130" s="125"/>
      <c r="S130" s="125"/>
      <c r="T130" s="125"/>
      <c r="U130" s="125"/>
      <c r="V130" s="125"/>
      <c r="W130" s="126"/>
    </row>
    <row r="131" spans="1:23" ht="16.5" thickBot="1" x14ac:dyDescent="0.3">
      <c r="A131" s="115"/>
      <c r="B131" s="15">
        <v>1</v>
      </c>
      <c r="C131" s="15">
        <v>1.1000000000000001</v>
      </c>
      <c r="D131" s="15">
        <v>1.2</v>
      </c>
      <c r="E131" s="15">
        <v>1.3</v>
      </c>
      <c r="F131" s="15">
        <v>1.4</v>
      </c>
      <c r="G131" s="15">
        <v>1.6</v>
      </c>
      <c r="H131" s="15">
        <v>1.7</v>
      </c>
      <c r="I131" s="18">
        <v>1.9</v>
      </c>
      <c r="J131" s="15">
        <v>2</v>
      </c>
      <c r="K131" s="18">
        <v>2.2999999999999998</v>
      </c>
      <c r="L131" s="15">
        <v>2.5</v>
      </c>
      <c r="M131" s="15">
        <v>2.6</v>
      </c>
      <c r="N131" s="18">
        <v>2.7</v>
      </c>
      <c r="O131" s="15">
        <v>3</v>
      </c>
      <c r="P131" s="18">
        <v>3.2</v>
      </c>
      <c r="Q131" s="15">
        <v>3.3</v>
      </c>
      <c r="R131" s="15">
        <v>3.4</v>
      </c>
      <c r="S131" s="15">
        <v>3.7</v>
      </c>
      <c r="T131" s="15">
        <v>3.9</v>
      </c>
      <c r="U131" s="15">
        <v>4.3</v>
      </c>
      <c r="V131" s="15">
        <v>4.5</v>
      </c>
      <c r="W131" s="15">
        <v>5.5</v>
      </c>
    </row>
    <row r="132" spans="1:23" ht="15.75" x14ac:dyDescent="0.25">
      <c r="A132" s="11">
        <v>15</v>
      </c>
      <c r="B132" s="17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9">
        <v>0</v>
      </c>
      <c r="J132" s="17">
        <v>0</v>
      </c>
      <c r="K132" s="19">
        <v>0</v>
      </c>
      <c r="L132" s="17">
        <v>0</v>
      </c>
      <c r="M132" s="17">
        <v>0</v>
      </c>
      <c r="N132" s="19">
        <v>0</v>
      </c>
      <c r="O132" s="17">
        <v>0</v>
      </c>
      <c r="P132" s="19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</row>
    <row r="133" spans="1:23" ht="15.75" x14ac:dyDescent="0.25">
      <c r="A133" s="11">
        <v>20</v>
      </c>
      <c r="B133" s="17">
        <v>0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9">
        <v>0</v>
      </c>
      <c r="J133" s="17">
        <v>0</v>
      </c>
      <c r="K133" s="19">
        <v>0</v>
      </c>
      <c r="L133" s="17">
        <v>0</v>
      </c>
      <c r="M133" s="17">
        <v>0</v>
      </c>
      <c r="N133" s="19">
        <v>0</v>
      </c>
      <c r="O133" s="17">
        <v>0</v>
      </c>
      <c r="P133" s="19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</row>
    <row r="134" spans="1:23" ht="15.75" x14ac:dyDescent="0.25">
      <c r="A134" s="11">
        <v>25</v>
      </c>
      <c r="B134" s="17">
        <v>0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9">
        <v>0</v>
      </c>
      <c r="J134" s="17">
        <v>0</v>
      </c>
      <c r="K134" s="19">
        <v>0</v>
      </c>
      <c r="L134" s="17">
        <v>0</v>
      </c>
      <c r="M134" s="17">
        <v>0</v>
      </c>
      <c r="N134" s="19">
        <v>0</v>
      </c>
      <c r="O134" s="17">
        <v>0</v>
      </c>
      <c r="P134" s="19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</row>
    <row r="135" spans="1:23" ht="15.75" x14ac:dyDescent="0.25">
      <c r="A135" s="11">
        <v>30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9">
        <v>0</v>
      </c>
      <c r="J135" s="17">
        <v>0</v>
      </c>
      <c r="K135" s="19">
        <v>0</v>
      </c>
      <c r="L135" s="17">
        <v>0</v>
      </c>
      <c r="M135" s="17">
        <v>0</v>
      </c>
      <c r="N135" s="19">
        <v>0</v>
      </c>
      <c r="O135" s="17">
        <v>0</v>
      </c>
      <c r="P135" s="19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</row>
    <row r="136" spans="1:23" ht="15.75" x14ac:dyDescent="0.25">
      <c r="A136" s="11">
        <v>35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9">
        <v>0</v>
      </c>
      <c r="J136" s="17">
        <v>0</v>
      </c>
      <c r="K136" s="19">
        <v>0</v>
      </c>
      <c r="L136" s="17">
        <v>0</v>
      </c>
      <c r="M136" s="17">
        <v>0</v>
      </c>
      <c r="N136" s="19">
        <v>0</v>
      </c>
      <c r="O136" s="17">
        <v>0</v>
      </c>
      <c r="P136" s="19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</row>
    <row r="137" spans="1:23" ht="15.75" x14ac:dyDescent="0.25">
      <c r="A137" s="11">
        <v>40</v>
      </c>
      <c r="B137" s="17">
        <v>0</v>
      </c>
      <c r="C137" s="17">
        <v>0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9">
        <v>0</v>
      </c>
      <c r="J137" s="17">
        <v>0</v>
      </c>
      <c r="K137" s="19">
        <v>0</v>
      </c>
      <c r="L137" s="17">
        <v>0</v>
      </c>
      <c r="M137" s="17">
        <v>0</v>
      </c>
      <c r="N137" s="19">
        <v>0</v>
      </c>
      <c r="O137" s="17">
        <v>0</v>
      </c>
      <c r="P137" s="19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</row>
    <row r="138" spans="1:23" ht="15.75" x14ac:dyDescent="0.25">
      <c r="A138" s="11">
        <v>45</v>
      </c>
      <c r="B138" s="17">
        <v>0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9">
        <v>0</v>
      </c>
      <c r="J138" s="17">
        <v>0</v>
      </c>
      <c r="K138" s="19">
        <v>0</v>
      </c>
      <c r="L138" s="17">
        <v>0</v>
      </c>
      <c r="M138" s="17">
        <v>0</v>
      </c>
      <c r="N138" s="19">
        <v>0</v>
      </c>
      <c r="O138" s="17">
        <v>0</v>
      </c>
      <c r="P138" s="19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</row>
    <row r="139" spans="1:23" ht="15.75" x14ac:dyDescent="0.25">
      <c r="A139" s="11">
        <v>50</v>
      </c>
      <c r="B139" s="17">
        <v>0</v>
      </c>
      <c r="C139" s="17">
        <v>0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9">
        <v>0</v>
      </c>
      <c r="J139" s="17">
        <v>0</v>
      </c>
      <c r="K139" s="19">
        <v>0</v>
      </c>
      <c r="L139" s="17">
        <v>0</v>
      </c>
      <c r="M139" s="17">
        <v>0</v>
      </c>
      <c r="N139" s="19">
        <v>0</v>
      </c>
      <c r="O139" s="17">
        <v>0</v>
      </c>
      <c r="P139" s="19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</row>
    <row r="140" spans="1:23" ht="15.75" x14ac:dyDescent="0.25">
      <c r="A140" s="11">
        <v>55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9">
        <v>0</v>
      </c>
      <c r="J140" s="17">
        <v>0</v>
      </c>
      <c r="K140" s="19">
        <v>0</v>
      </c>
      <c r="L140" s="17">
        <v>0</v>
      </c>
      <c r="M140" s="17">
        <v>0</v>
      </c>
      <c r="N140" s="19">
        <v>0</v>
      </c>
      <c r="O140" s="17">
        <v>0</v>
      </c>
      <c r="P140" s="19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</row>
    <row r="141" spans="1:23" ht="15.75" x14ac:dyDescent="0.25">
      <c r="A141" s="11">
        <v>60</v>
      </c>
      <c r="B141" s="17">
        <v>0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9">
        <v>0</v>
      </c>
      <c r="J141" s="17">
        <v>0</v>
      </c>
      <c r="K141" s="19">
        <v>0</v>
      </c>
      <c r="L141" s="17">
        <v>0</v>
      </c>
      <c r="M141" s="17">
        <v>0</v>
      </c>
      <c r="N141" s="19">
        <v>0</v>
      </c>
      <c r="O141" s="17">
        <v>0</v>
      </c>
      <c r="P141" s="19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</row>
    <row r="142" spans="1:23" ht="15.75" x14ac:dyDescent="0.25">
      <c r="A142" s="11">
        <v>65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9">
        <v>0</v>
      </c>
      <c r="J142" s="17">
        <v>0</v>
      </c>
      <c r="K142" s="19">
        <v>0</v>
      </c>
      <c r="L142" s="17">
        <v>0</v>
      </c>
      <c r="M142" s="17">
        <v>0</v>
      </c>
      <c r="N142" s="19">
        <v>0</v>
      </c>
      <c r="O142" s="17">
        <v>0</v>
      </c>
      <c r="P142" s="19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</row>
    <row r="143" spans="1:23" ht="15.75" x14ac:dyDescent="0.25">
      <c r="A143" s="11">
        <v>70</v>
      </c>
      <c r="B143" s="17">
        <v>0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9">
        <v>0</v>
      </c>
      <c r="J143" s="17">
        <v>0</v>
      </c>
      <c r="K143" s="19">
        <v>0</v>
      </c>
      <c r="L143" s="17">
        <v>0</v>
      </c>
      <c r="M143" s="17">
        <v>0</v>
      </c>
      <c r="N143" s="19">
        <v>0</v>
      </c>
      <c r="O143" s="17">
        <v>0</v>
      </c>
      <c r="P143" s="19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</row>
    <row r="144" spans="1:23" ht="15.75" x14ac:dyDescent="0.25">
      <c r="A144" s="11">
        <v>75</v>
      </c>
      <c r="B144" s="17">
        <v>0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9">
        <v>0</v>
      </c>
      <c r="J144" s="17">
        <v>0</v>
      </c>
      <c r="K144" s="19">
        <v>0</v>
      </c>
      <c r="L144" s="17">
        <v>0</v>
      </c>
      <c r="M144" s="17">
        <v>0</v>
      </c>
      <c r="N144" s="19">
        <v>0</v>
      </c>
      <c r="O144" s="17">
        <v>0</v>
      </c>
      <c r="P144" s="19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</row>
    <row r="145" spans="1:23" ht="15.75" x14ac:dyDescent="0.25">
      <c r="A145" s="11">
        <v>80</v>
      </c>
      <c r="B145" s="17">
        <v>0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9">
        <v>0</v>
      </c>
      <c r="J145" s="17">
        <v>0</v>
      </c>
      <c r="K145" s="19">
        <v>0</v>
      </c>
      <c r="L145" s="17">
        <v>0</v>
      </c>
      <c r="M145" s="17">
        <v>0</v>
      </c>
      <c r="N145" s="19">
        <v>0</v>
      </c>
      <c r="O145" s="17">
        <v>0</v>
      </c>
      <c r="P145" s="19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</row>
    <row r="146" spans="1:23" ht="15.75" x14ac:dyDescent="0.25">
      <c r="A146" s="11">
        <v>85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9">
        <v>0</v>
      </c>
      <c r="J146" s="17">
        <v>0</v>
      </c>
      <c r="K146" s="19">
        <v>0</v>
      </c>
      <c r="L146" s="17">
        <v>0</v>
      </c>
      <c r="M146" s="17">
        <v>0</v>
      </c>
      <c r="N146" s="19">
        <v>0</v>
      </c>
      <c r="O146" s="17">
        <v>0</v>
      </c>
      <c r="P146" s="19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</row>
    <row r="147" spans="1:23" ht="15.75" x14ac:dyDescent="0.25">
      <c r="A147" s="20">
        <v>90</v>
      </c>
      <c r="B147" s="21">
        <v>0</v>
      </c>
      <c r="C147" s="21">
        <v>0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</row>
    <row r="148" spans="1:23" ht="15.75" x14ac:dyDescent="0.25">
      <c r="A148" s="11">
        <v>95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9">
        <f t="shared" ref="I148:P159" si="12">($B$129+I$131)*(1-TAN(RADIANS(180-$A148)/2))/TAN(RADIANS(180-$A148)/2)</f>
        <v>0.41088825481172137</v>
      </c>
      <c r="J148" s="17">
        <v>0</v>
      </c>
      <c r="K148" s="19">
        <f t="shared" si="12"/>
        <v>0.44741165523943</v>
      </c>
      <c r="L148" s="17">
        <v>0</v>
      </c>
      <c r="M148" s="17">
        <v>0</v>
      </c>
      <c r="N148" s="19">
        <f t="shared" si="12"/>
        <v>0.48393505566713857</v>
      </c>
      <c r="O148" s="17">
        <v>0</v>
      </c>
      <c r="P148" s="19">
        <f t="shared" si="12"/>
        <v>0.52958930620177425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</row>
    <row r="149" spans="1:23" ht="15.75" x14ac:dyDescent="0.25">
      <c r="A149" s="11">
        <v>100</v>
      </c>
      <c r="B149" s="17">
        <v>0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9">
        <f t="shared" ref="I149:P149" si="13">($B$129+I$131)*(1-TAN(RADIANS(180-$A149)/2))/TAN(RADIANS(180-$A149)/2)</f>
        <v>0.86289116667394539</v>
      </c>
      <c r="J149" s="17">
        <v>0</v>
      </c>
      <c r="K149" s="19">
        <f t="shared" si="13"/>
        <v>0.93959260371162945</v>
      </c>
      <c r="L149" s="17">
        <v>0</v>
      </c>
      <c r="M149" s="17">
        <v>0</v>
      </c>
      <c r="N149" s="19">
        <f t="shared" si="13"/>
        <v>1.0162940407493137</v>
      </c>
      <c r="O149" s="17">
        <v>0</v>
      </c>
      <c r="P149" s="19">
        <f t="shared" si="13"/>
        <v>1.1121708370464185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</row>
    <row r="150" spans="1:23" ht="15.75" x14ac:dyDescent="0.25">
      <c r="A150" s="11">
        <v>105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9">
        <f t="shared" si="12"/>
        <v>1.3645141777854255</v>
      </c>
      <c r="J150" s="17">
        <v>0</v>
      </c>
      <c r="K150" s="19">
        <f t="shared" si="12"/>
        <v>1.4858043269219081</v>
      </c>
      <c r="L150" s="17">
        <v>0</v>
      </c>
      <c r="M150" s="17">
        <v>0</v>
      </c>
      <c r="N150" s="19">
        <f t="shared" si="12"/>
        <v>1.6070944760583903</v>
      </c>
      <c r="O150" s="17">
        <v>0</v>
      </c>
      <c r="P150" s="19">
        <f t="shared" si="12"/>
        <v>1.7587071624789934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</row>
    <row r="151" spans="1:23" ht="15.75" x14ac:dyDescent="0.25">
      <c r="A151" s="11">
        <v>110</v>
      </c>
      <c r="B151" s="17">
        <v>0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9">
        <f t="shared" si="12"/>
        <v>1.926666030339516</v>
      </c>
      <c r="J151" s="17">
        <v>0</v>
      </c>
      <c r="K151" s="19">
        <f t="shared" si="12"/>
        <v>2.0979252330363618</v>
      </c>
      <c r="L151" s="17">
        <v>0</v>
      </c>
      <c r="M151" s="17">
        <v>0</v>
      </c>
      <c r="N151" s="19">
        <f t="shared" si="12"/>
        <v>2.2691844357332078</v>
      </c>
      <c r="O151" s="17">
        <v>0</v>
      </c>
      <c r="P151" s="19">
        <f t="shared" si="12"/>
        <v>2.4832584391042651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</row>
    <row r="152" spans="1:23" ht="15.75" x14ac:dyDescent="0.25">
      <c r="A152" s="11">
        <v>115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9">
        <f t="shared" si="12"/>
        <v>2.5635850970287062</v>
      </c>
      <c r="J152" s="17">
        <v>0</v>
      </c>
      <c r="K152" s="19">
        <f t="shared" si="12"/>
        <v>2.7914593278757027</v>
      </c>
      <c r="L152" s="17">
        <v>0</v>
      </c>
      <c r="M152" s="17">
        <v>0</v>
      </c>
      <c r="N152" s="19">
        <f t="shared" si="12"/>
        <v>3.0193335587226993</v>
      </c>
      <c r="O152" s="17">
        <v>0</v>
      </c>
      <c r="P152" s="19">
        <f t="shared" si="12"/>
        <v>3.304176347281444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</row>
    <row r="153" spans="1:23" ht="15.75" x14ac:dyDescent="0.25">
      <c r="A153" s="11">
        <v>120</v>
      </c>
      <c r="B153" s="17">
        <v>0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9">
        <f t="shared" si="12"/>
        <v>3.2942286340599485</v>
      </c>
      <c r="J153" s="17">
        <v>0</v>
      </c>
      <c r="K153" s="19">
        <f t="shared" si="12"/>
        <v>3.5870489570874993</v>
      </c>
      <c r="L153" s="17">
        <v>0</v>
      </c>
      <c r="M153" s="17">
        <v>0</v>
      </c>
      <c r="N153" s="19">
        <f t="shared" si="12"/>
        <v>3.8798692801150509</v>
      </c>
      <c r="O153" s="17">
        <v>0</v>
      </c>
      <c r="P153" s="19">
        <f t="shared" si="12"/>
        <v>4.2458946838994889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</row>
    <row r="154" spans="1:23" ht="15.75" x14ac:dyDescent="0.25">
      <c r="A154" s="11">
        <v>125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9">
        <f t="shared" si="12"/>
        <v>4.1444195713702472</v>
      </c>
      <c r="J154" s="17">
        <v>0</v>
      </c>
      <c r="K154" s="19">
        <f t="shared" si="12"/>
        <v>4.5128124221587136</v>
      </c>
      <c r="L154" s="17">
        <v>0</v>
      </c>
      <c r="M154" s="17">
        <v>0</v>
      </c>
      <c r="N154" s="19">
        <f t="shared" si="12"/>
        <v>4.8812052729471809</v>
      </c>
      <c r="O154" s="17">
        <v>0</v>
      </c>
      <c r="P154" s="19">
        <f t="shared" si="12"/>
        <v>5.3416963364327641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</row>
    <row r="155" spans="1:23" ht="15.75" x14ac:dyDescent="0.25">
      <c r="A155" s="11">
        <v>130</v>
      </c>
      <c r="B155" s="17">
        <v>0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9">
        <f t="shared" si="12"/>
        <v>5.1502811422930144</v>
      </c>
      <c r="J155" s="17">
        <v>0</v>
      </c>
      <c r="K155" s="19">
        <f t="shared" si="12"/>
        <v>5.6080839104968385</v>
      </c>
      <c r="L155" s="17">
        <v>0</v>
      </c>
      <c r="M155" s="17">
        <v>0</v>
      </c>
      <c r="N155" s="19">
        <f t="shared" si="12"/>
        <v>6.0658866787006618</v>
      </c>
      <c r="O155" s="17">
        <v>0</v>
      </c>
      <c r="P155" s="19">
        <f t="shared" si="12"/>
        <v>6.6381401389554417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</row>
    <row r="156" spans="1:23" ht="15.75" x14ac:dyDescent="0.25">
      <c r="A156" s="11">
        <v>135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9">
        <f t="shared" si="12"/>
        <v>6.3639610306789285</v>
      </c>
      <c r="J156" s="17">
        <v>0</v>
      </c>
      <c r="K156" s="19">
        <f t="shared" si="12"/>
        <v>6.9296464556281663</v>
      </c>
      <c r="L156" s="17">
        <v>0</v>
      </c>
      <c r="M156" s="17">
        <v>0</v>
      </c>
      <c r="N156" s="19">
        <f t="shared" si="12"/>
        <v>7.4953318805774058</v>
      </c>
      <c r="O156" s="17">
        <v>0</v>
      </c>
      <c r="P156" s="19">
        <f t="shared" si="12"/>
        <v>8.2024386617639529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</row>
    <row r="157" spans="1:23" ht="15.75" x14ac:dyDescent="0.25">
      <c r="A157" s="11">
        <v>140</v>
      </c>
      <c r="B157" s="17">
        <v>0</v>
      </c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9">
        <f t="shared" si="12"/>
        <v>7.8636483875458012</v>
      </c>
      <c r="J157" s="17">
        <v>0</v>
      </c>
      <c r="K157" s="19">
        <f t="shared" si="12"/>
        <v>8.5626393553276507</v>
      </c>
      <c r="L157" s="17">
        <v>0</v>
      </c>
      <c r="M157" s="17">
        <v>0</v>
      </c>
      <c r="N157" s="19">
        <f t="shared" si="12"/>
        <v>9.2616303231095003</v>
      </c>
      <c r="O157" s="17">
        <v>0</v>
      </c>
      <c r="P157" s="19">
        <f t="shared" si="12"/>
        <v>10.135369032836811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</row>
    <row r="158" spans="1:23" ht="15.75" x14ac:dyDescent="0.25">
      <c r="A158" s="11">
        <v>145</v>
      </c>
      <c r="B158" s="17">
        <v>0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9">
        <f t="shared" si="12"/>
        <v>9.7721766106344568</v>
      </c>
      <c r="J158" s="17">
        <v>0</v>
      </c>
      <c r="K158" s="19">
        <f t="shared" si="12"/>
        <v>10.640814531579743</v>
      </c>
      <c r="L158" s="17">
        <v>0</v>
      </c>
      <c r="M158" s="17">
        <v>0</v>
      </c>
      <c r="N158" s="19">
        <f t="shared" si="12"/>
        <v>11.509452452525029</v>
      </c>
      <c r="O158" s="17">
        <v>0</v>
      </c>
      <c r="P158" s="19">
        <f t="shared" si="12"/>
        <v>12.595249853706633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</row>
    <row r="159" spans="1:23" ht="15.75" x14ac:dyDescent="0.25">
      <c r="A159" s="11">
        <v>150</v>
      </c>
      <c r="B159" s="17">
        <v>0</v>
      </c>
      <c r="C159" s="17">
        <v>0</v>
      </c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9">
        <f t="shared" si="12"/>
        <v>12.29422863405995</v>
      </c>
      <c r="J159" s="17">
        <v>0</v>
      </c>
      <c r="K159" s="19">
        <f t="shared" si="12"/>
        <v>13.387048957087501</v>
      </c>
      <c r="L159" s="17">
        <v>0</v>
      </c>
      <c r="M159" s="17">
        <v>0</v>
      </c>
      <c r="N159" s="19">
        <f t="shared" si="12"/>
        <v>14.479869280115052</v>
      </c>
      <c r="O159" s="17">
        <v>0</v>
      </c>
      <c r="P159" s="19">
        <f t="shared" si="12"/>
        <v>15.845894683899491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</row>
    <row r="160" spans="1:23" ht="15.75" thickBot="1" x14ac:dyDescent="0.25">
      <c r="A160" s="7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6.5" thickBot="1" x14ac:dyDescent="0.3">
      <c r="A161" s="8" t="s">
        <v>5</v>
      </c>
      <c r="B161" s="16">
        <v>3</v>
      </c>
      <c r="C161" s="2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6.5" thickBot="1" x14ac:dyDescent="0.25">
      <c r="A162" s="114" t="s">
        <v>6</v>
      </c>
      <c r="B162" s="116" t="s">
        <v>7</v>
      </c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25"/>
      <c r="O162" s="125"/>
      <c r="P162" s="125"/>
      <c r="Q162" s="125"/>
      <c r="R162" s="125"/>
      <c r="S162" s="125"/>
      <c r="T162" s="125"/>
      <c r="U162" s="125"/>
      <c r="V162" s="125"/>
      <c r="W162" s="126"/>
    </row>
    <row r="163" spans="1:23" ht="16.5" thickBot="1" x14ac:dyDescent="0.3">
      <c r="A163" s="115"/>
      <c r="B163" s="15">
        <v>1</v>
      </c>
      <c r="C163" s="15">
        <v>1.1000000000000001</v>
      </c>
      <c r="D163" s="15">
        <v>1.2</v>
      </c>
      <c r="E163" s="15">
        <v>1.3</v>
      </c>
      <c r="F163" s="15">
        <v>1.4</v>
      </c>
      <c r="G163" s="15">
        <v>1.6</v>
      </c>
      <c r="H163" s="15">
        <v>1.7</v>
      </c>
      <c r="I163" s="15">
        <v>1.9</v>
      </c>
      <c r="J163" s="18">
        <v>2</v>
      </c>
      <c r="K163" s="15">
        <v>2.2999999999999998</v>
      </c>
      <c r="L163" s="15">
        <v>2.5</v>
      </c>
      <c r="M163" s="18">
        <v>2.6</v>
      </c>
      <c r="N163" s="15">
        <v>2.7</v>
      </c>
      <c r="O163" s="15">
        <v>3</v>
      </c>
      <c r="P163" s="15">
        <v>3.2</v>
      </c>
      <c r="Q163" s="18">
        <v>3.3</v>
      </c>
      <c r="R163" s="15">
        <v>3.4</v>
      </c>
      <c r="S163" s="15">
        <v>3.7</v>
      </c>
      <c r="T163" s="15">
        <v>3.9</v>
      </c>
      <c r="U163" s="15">
        <v>4.3</v>
      </c>
      <c r="V163" s="15">
        <v>4.5</v>
      </c>
      <c r="W163" s="15">
        <v>5.5</v>
      </c>
    </row>
    <row r="164" spans="1:23" ht="15.75" x14ac:dyDescent="0.25">
      <c r="A164" s="11">
        <v>15</v>
      </c>
      <c r="B164" s="17">
        <v>0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9">
        <v>0</v>
      </c>
      <c r="K164" s="17">
        <v>0</v>
      </c>
      <c r="L164" s="17">
        <v>0</v>
      </c>
      <c r="M164" s="19">
        <v>0</v>
      </c>
      <c r="N164" s="17">
        <v>0</v>
      </c>
      <c r="O164" s="17">
        <v>0</v>
      </c>
      <c r="P164" s="17">
        <v>0</v>
      </c>
      <c r="Q164" s="19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</row>
    <row r="165" spans="1:23" ht="15.75" x14ac:dyDescent="0.25">
      <c r="A165" s="11">
        <v>20</v>
      </c>
      <c r="B165" s="17">
        <v>0</v>
      </c>
      <c r="C165" s="17">
        <v>0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9">
        <v>0</v>
      </c>
      <c r="K165" s="17">
        <v>0</v>
      </c>
      <c r="L165" s="17">
        <v>0</v>
      </c>
      <c r="M165" s="19">
        <v>0</v>
      </c>
      <c r="N165" s="17">
        <v>0</v>
      </c>
      <c r="O165" s="17">
        <v>0</v>
      </c>
      <c r="P165" s="17">
        <v>0</v>
      </c>
      <c r="Q165" s="19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</row>
    <row r="166" spans="1:23" ht="15.75" x14ac:dyDescent="0.25">
      <c r="A166" s="11">
        <v>25</v>
      </c>
      <c r="B166" s="17">
        <v>0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9">
        <v>0</v>
      </c>
      <c r="K166" s="17">
        <v>0</v>
      </c>
      <c r="L166" s="17">
        <v>0</v>
      </c>
      <c r="M166" s="19">
        <v>0</v>
      </c>
      <c r="N166" s="17">
        <v>0</v>
      </c>
      <c r="O166" s="17">
        <v>0</v>
      </c>
      <c r="P166" s="17">
        <v>0</v>
      </c>
      <c r="Q166" s="19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</row>
    <row r="167" spans="1:23" ht="15.75" x14ac:dyDescent="0.25">
      <c r="A167" s="11">
        <v>30</v>
      </c>
      <c r="B167" s="17">
        <v>0</v>
      </c>
      <c r="C167" s="17">
        <v>0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9">
        <v>0</v>
      </c>
      <c r="K167" s="17">
        <v>0</v>
      </c>
      <c r="L167" s="17">
        <v>0</v>
      </c>
      <c r="M167" s="19">
        <v>0</v>
      </c>
      <c r="N167" s="17">
        <v>0</v>
      </c>
      <c r="O167" s="17">
        <v>0</v>
      </c>
      <c r="P167" s="17">
        <v>0</v>
      </c>
      <c r="Q167" s="19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</row>
    <row r="168" spans="1:23" ht="15.75" x14ac:dyDescent="0.25">
      <c r="A168" s="11">
        <v>35</v>
      </c>
      <c r="B168" s="17">
        <v>0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9">
        <v>0</v>
      </c>
      <c r="K168" s="17">
        <v>0</v>
      </c>
      <c r="L168" s="17">
        <v>0</v>
      </c>
      <c r="M168" s="19">
        <v>0</v>
      </c>
      <c r="N168" s="17">
        <v>0</v>
      </c>
      <c r="O168" s="17">
        <v>0</v>
      </c>
      <c r="P168" s="17">
        <v>0</v>
      </c>
      <c r="Q168" s="19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</row>
    <row r="169" spans="1:23" ht="15.75" x14ac:dyDescent="0.25">
      <c r="A169" s="11">
        <v>40</v>
      </c>
      <c r="B169" s="17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9">
        <v>0</v>
      </c>
      <c r="K169" s="17">
        <v>0</v>
      </c>
      <c r="L169" s="17">
        <v>0</v>
      </c>
      <c r="M169" s="19">
        <v>0</v>
      </c>
      <c r="N169" s="17">
        <v>0</v>
      </c>
      <c r="O169" s="17">
        <v>0</v>
      </c>
      <c r="P169" s="17">
        <v>0</v>
      </c>
      <c r="Q169" s="19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</row>
    <row r="170" spans="1:23" ht="15.75" x14ac:dyDescent="0.25">
      <c r="A170" s="11">
        <v>45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9">
        <v>0</v>
      </c>
      <c r="K170" s="17">
        <v>0</v>
      </c>
      <c r="L170" s="17">
        <v>0</v>
      </c>
      <c r="M170" s="19">
        <v>0</v>
      </c>
      <c r="N170" s="17">
        <v>0</v>
      </c>
      <c r="O170" s="17">
        <v>0</v>
      </c>
      <c r="P170" s="17">
        <v>0</v>
      </c>
      <c r="Q170" s="19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</row>
    <row r="171" spans="1:23" ht="15.75" x14ac:dyDescent="0.25">
      <c r="A171" s="11">
        <v>50</v>
      </c>
      <c r="B171" s="17">
        <v>0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9">
        <v>0</v>
      </c>
      <c r="K171" s="17">
        <v>0</v>
      </c>
      <c r="L171" s="17">
        <v>0</v>
      </c>
      <c r="M171" s="19">
        <v>0</v>
      </c>
      <c r="N171" s="17">
        <v>0</v>
      </c>
      <c r="O171" s="17">
        <v>0</v>
      </c>
      <c r="P171" s="17">
        <v>0</v>
      </c>
      <c r="Q171" s="19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</row>
    <row r="172" spans="1:23" ht="15.75" x14ac:dyDescent="0.25">
      <c r="A172" s="11">
        <v>55</v>
      </c>
      <c r="B172" s="17">
        <v>0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9">
        <v>0</v>
      </c>
      <c r="K172" s="17">
        <v>0</v>
      </c>
      <c r="L172" s="17">
        <v>0</v>
      </c>
      <c r="M172" s="19">
        <v>0</v>
      </c>
      <c r="N172" s="17">
        <v>0</v>
      </c>
      <c r="O172" s="17">
        <v>0</v>
      </c>
      <c r="P172" s="17">
        <v>0</v>
      </c>
      <c r="Q172" s="19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</row>
    <row r="173" spans="1:23" ht="15.75" x14ac:dyDescent="0.25">
      <c r="A173" s="11">
        <v>60</v>
      </c>
      <c r="B173" s="17">
        <v>0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9">
        <v>0</v>
      </c>
      <c r="K173" s="17">
        <v>0</v>
      </c>
      <c r="L173" s="17">
        <v>0</v>
      </c>
      <c r="M173" s="19">
        <v>0</v>
      </c>
      <c r="N173" s="17">
        <v>0</v>
      </c>
      <c r="O173" s="17">
        <v>0</v>
      </c>
      <c r="P173" s="17">
        <v>0</v>
      </c>
      <c r="Q173" s="19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</row>
    <row r="174" spans="1:23" ht="15.75" x14ac:dyDescent="0.25">
      <c r="A174" s="11">
        <v>65</v>
      </c>
      <c r="B174" s="17">
        <v>0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9">
        <v>0</v>
      </c>
      <c r="K174" s="17">
        <v>0</v>
      </c>
      <c r="L174" s="17">
        <v>0</v>
      </c>
      <c r="M174" s="19">
        <v>0</v>
      </c>
      <c r="N174" s="17">
        <v>0</v>
      </c>
      <c r="O174" s="17">
        <v>0</v>
      </c>
      <c r="P174" s="17">
        <v>0</v>
      </c>
      <c r="Q174" s="19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</row>
    <row r="175" spans="1:23" ht="15.75" x14ac:dyDescent="0.25">
      <c r="A175" s="11">
        <v>70</v>
      </c>
      <c r="B175" s="17">
        <v>0</v>
      </c>
      <c r="C175" s="17">
        <v>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9">
        <v>0</v>
      </c>
      <c r="K175" s="17">
        <v>0</v>
      </c>
      <c r="L175" s="17">
        <v>0</v>
      </c>
      <c r="M175" s="19">
        <v>0</v>
      </c>
      <c r="N175" s="17">
        <v>0</v>
      </c>
      <c r="O175" s="17">
        <v>0</v>
      </c>
      <c r="P175" s="17">
        <v>0</v>
      </c>
      <c r="Q175" s="19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</row>
    <row r="176" spans="1:23" ht="15.75" x14ac:dyDescent="0.25">
      <c r="A176" s="11">
        <v>75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9">
        <v>0</v>
      </c>
      <c r="K176" s="17">
        <v>0</v>
      </c>
      <c r="L176" s="17">
        <v>0</v>
      </c>
      <c r="M176" s="19">
        <v>0</v>
      </c>
      <c r="N176" s="17">
        <v>0</v>
      </c>
      <c r="O176" s="17">
        <v>0</v>
      </c>
      <c r="P176" s="17">
        <v>0</v>
      </c>
      <c r="Q176" s="19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</row>
    <row r="177" spans="1:23" ht="15.75" x14ac:dyDescent="0.25">
      <c r="A177" s="11">
        <v>80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9">
        <v>0</v>
      </c>
      <c r="K177" s="17">
        <v>0</v>
      </c>
      <c r="L177" s="17">
        <v>0</v>
      </c>
      <c r="M177" s="19">
        <v>0</v>
      </c>
      <c r="N177" s="17">
        <v>0</v>
      </c>
      <c r="O177" s="17">
        <v>0</v>
      </c>
      <c r="P177" s="17">
        <v>0</v>
      </c>
      <c r="Q177" s="19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</row>
    <row r="178" spans="1:23" ht="15.75" x14ac:dyDescent="0.25">
      <c r="A178" s="11">
        <v>85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9">
        <v>0</v>
      </c>
      <c r="K178" s="17">
        <v>0</v>
      </c>
      <c r="L178" s="17">
        <v>0</v>
      </c>
      <c r="M178" s="19">
        <v>0</v>
      </c>
      <c r="N178" s="17">
        <v>0</v>
      </c>
      <c r="O178" s="17">
        <v>0</v>
      </c>
      <c r="P178" s="17">
        <v>0</v>
      </c>
      <c r="Q178" s="19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</row>
    <row r="179" spans="1:23" ht="15.75" x14ac:dyDescent="0.25">
      <c r="A179" s="20">
        <v>90</v>
      </c>
      <c r="B179" s="21">
        <v>0</v>
      </c>
      <c r="C179" s="21">
        <v>0</v>
      </c>
      <c r="D179" s="21">
        <v>0</v>
      </c>
      <c r="E179" s="21">
        <v>0</v>
      </c>
      <c r="F179" s="21">
        <v>0</v>
      </c>
      <c r="G179" s="21">
        <v>0</v>
      </c>
      <c r="H179" s="21">
        <v>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>
        <v>0</v>
      </c>
      <c r="T179" s="21">
        <v>0</v>
      </c>
      <c r="U179" s="21">
        <v>0</v>
      </c>
      <c r="V179" s="21">
        <v>0</v>
      </c>
      <c r="W179" s="21">
        <v>0</v>
      </c>
    </row>
    <row r="180" spans="1:23" ht="15.75" x14ac:dyDescent="0.25">
      <c r="A180" s="11">
        <v>95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9">
        <f>($B$161+J$163)*(1-TAN(RADIANS(180-$A180)/2))/TAN(RADIANS(180-$A180)/2)</f>
        <v>0.4565425053463571</v>
      </c>
      <c r="K180" s="17">
        <v>0</v>
      </c>
      <c r="L180" s="17">
        <v>0</v>
      </c>
      <c r="M180" s="19">
        <f>($B$161+M$163)*(1-TAN(RADIANS(180-$A180)/2))/TAN(RADIANS(180-$A180)/2)</f>
        <v>0.51132760598791993</v>
      </c>
      <c r="N180" s="17">
        <v>0</v>
      </c>
      <c r="O180" s="17">
        <v>0</v>
      </c>
      <c r="P180" s="17">
        <v>0</v>
      </c>
      <c r="Q180" s="19">
        <f>($B$161+Q$163)*(1-TAN(RADIANS(180-$A180)/2))/TAN(RADIANS(180-$A180)/2)</f>
        <v>0.57524355673640992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</row>
    <row r="181" spans="1:23" ht="15.75" x14ac:dyDescent="0.25">
      <c r="A181" s="11">
        <v>100</v>
      </c>
      <c r="B181" s="17">
        <v>0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9">
        <f t="shared" ref="J181:Q181" si="14">($B$161+J$163)*(1-TAN(RADIANS(180-$A181)/2))/TAN(RADIANS(180-$A181)/2)</f>
        <v>0.95876796297105038</v>
      </c>
      <c r="K181" s="17">
        <v>0</v>
      </c>
      <c r="L181" s="17">
        <v>0</v>
      </c>
      <c r="M181" s="19">
        <f t="shared" si="14"/>
        <v>1.0738201185275764</v>
      </c>
      <c r="N181" s="17">
        <v>0</v>
      </c>
      <c r="O181" s="17">
        <v>0</v>
      </c>
      <c r="P181" s="17">
        <v>0</v>
      </c>
      <c r="Q181" s="19">
        <f t="shared" si="14"/>
        <v>1.2080476333435235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</row>
    <row r="182" spans="1:23" ht="15.75" x14ac:dyDescent="0.25">
      <c r="A182" s="11">
        <v>105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9">
        <f t="shared" ref="J182:J189" si="15">($B$161+J$163)*(1-TAN(RADIANS(180-$A182)/2))/TAN(RADIANS(180-$A182)/2)</f>
        <v>1.5161268642060286</v>
      </c>
      <c r="K182" s="17">
        <v>0</v>
      </c>
      <c r="L182" s="17">
        <v>0</v>
      </c>
      <c r="M182" s="19">
        <f t="shared" ref="M182:M189" si="16">($B$161+M$163)*(1-TAN(RADIANS(180-$A182)/2))/TAN(RADIANS(180-$A182)/2)</f>
        <v>1.698062087910752</v>
      </c>
      <c r="N182" s="17">
        <v>0</v>
      </c>
      <c r="O182" s="17">
        <v>0</v>
      </c>
      <c r="P182" s="17">
        <v>0</v>
      </c>
      <c r="Q182" s="19">
        <f t="shared" ref="Q182:Q189" si="17">($B$161+Q$163)*(1-TAN(RADIANS(180-$A182)/2))/TAN(RADIANS(180-$A182)/2)</f>
        <v>1.9103198488995958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</row>
    <row r="183" spans="1:23" ht="15.75" x14ac:dyDescent="0.25">
      <c r="A183" s="11">
        <v>110</v>
      </c>
      <c r="B183" s="17">
        <v>0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9">
        <f t="shared" si="15"/>
        <v>2.1407400337105731</v>
      </c>
      <c r="K183" s="17">
        <v>0</v>
      </c>
      <c r="L183" s="17">
        <v>0</v>
      </c>
      <c r="M183" s="19">
        <f t="shared" si="16"/>
        <v>2.3976288377558421</v>
      </c>
      <c r="N183" s="17">
        <v>0</v>
      </c>
      <c r="O183" s="17">
        <v>0</v>
      </c>
      <c r="P183" s="17">
        <v>0</v>
      </c>
      <c r="Q183" s="19">
        <f t="shared" si="17"/>
        <v>2.697332442475322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</row>
    <row r="184" spans="1:23" ht="15.75" x14ac:dyDescent="0.25">
      <c r="A184" s="11">
        <v>115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9">
        <f t="shared" si="15"/>
        <v>2.8484278855874514</v>
      </c>
      <c r="K184" s="17">
        <v>0</v>
      </c>
      <c r="L184" s="17">
        <v>0</v>
      </c>
      <c r="M184" s="19">
        <f t="shared" si="16"/>
        <v>3.1902392318579458</v>
      </c>
      <c r="N184" s="17">
        <v>0</v>
      </c>
      <c r="O184" s="17">
        <v>0</v>
      </c>
      <c r="P184" s="17">
        <v>0</v>
      </c>
      <c r="Q184" s="19">
        <f t="shared" si="17"/>
        <v>3.5890191358401893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</row>
    <row r="185" spans="1:23" ht="15.75" x14ac:dyDescent="0.25">
      <c r="A185" s="11">
        <v>120</v>
      </c>
      <c r="B185" s="17">
        <v>0</v>
      </c>
      <c r="C185" s="17">
        <v>0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9">
        <f t="shared" si="15"/>
        <v>3.6602540378443869</v>
      </c>
      <c r="K185" s="17">
        <v>0</v>
      </c>
      <c r="L185" s="17">
        <v>0</v>
      </c>
      <c r="M185" s="19">
        <f t="shared" si="16"/>
        <v>4.0994845223857128</v>
      </c>
      <c r="N185" s="17">
        <v>0</v>
      </c>
      <c r="O185" s="17">
        <v>0</v>
      </c>
      <c r="P185" s="17">
        <v>0</v>
      </c>
      <c r="Q185" s="19">
        <f t="shared" si="17"/>
        <v>4.6119200876839272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</row>
    <row r="186" spans="1:23" ht="15.75" x14ac:dyDescent="0.25">
      <c r="A186" s="11">
        <v>125</v>
      </c>
      <c r="B186" s="17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9">
        <f t="shared" si="15"/>
        <v>4.6049106348558304</v>
      </c>
      <c r="K186" s="17">
        <v>0</v>
      </c>
      <c r="L186" s="17">
        <v>0</v>
      </c>
      <c r="M186" s="19">
        <f t="shared" si="16"/>
        <v>5.1574999110385296</v>
      </c>
      <c r="N186" s="17">
        <v>0</v>
      </c>
      <c r="O186" s="17">
        <v>0</v>
      </c>
      <c r="P186" s="17">
        <v>0</v>
      </c>
      <c r="Q186" s="19">
        <f t="shared" si="17"/>
        <v>5.8021873999183455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</row>
    <row r="187" spans="1:23" ht="15.75" x14ac:dyDescent="0.25">
      <c r="A187" s="11">
        <v>130</v>
      </c>
      <c r="B187" s="17">
        <v>0</v>
      </c>
      <c r="C187" s="17">
        <v>0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9">
        <f t="shared" si="15"/>
        <v>5.7225346025477943</v>
      </c>
      <c r="K187" s="17">
        <v>0</v>
      </c>
      <c r="L187" s="17">
        <v>0</v>
      </c>
      <c r="M187" s="19">
        <f t="shared" si="16"/>
        <v>6.4092387548535283</v>
      </c>
      <c r="N187" s="17">
        <v>0</v>
      </c>
      <c r="O187" s="17">
        <v>0</v>
      </c>
      <c r="P187" s="17">
        <v>0</v>
      </c>
      <c r="Q187" s="19">
        <f t="shared" si="17"/>
        <v>7.2103935992102199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</row>
    <row r="188" spans="1:23" ht="15.75" x14ac:dyDescent="0.25">
      <c r="A188" s="11">
        <v>135</v>
      </c>
      <c r="B188" s="17">
        <v>0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9">
        <f t="shared" si="15"/>
        <v>7.0710678118654755</v>
      </c>
      <c r="K188" s="17">
        <v>0</v>
      </c>
      <c r="L188" s="17">
        <v>0</v>
      </c>
      <c r="M188" s="19">
        <f t="shared" si="16"/>
        <v>7.9195959492893317</v>
      </c>
      <c r="N188" s="17">
        <v>0</v>
      </c>
      <c r="O188" s="17">
        <v>0</v>
      </c>
      <c r="P188" s="17">
        <v>0</v>
      </c>
      <c r="Q188" s="19">
        <f t="shared" si="17"/>
        <v>8.909545442950499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</row>
    <row r="189" spans="1:23" ht="15.75" x14ac:dyDescent="0.25">
      <c r="A189" s="11">
        <v>140</v>
      </c>
      <c r="B189" s="17">
        <v>0</v>
      </c>
      <c r="C189" s="17">
        <v>0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9">
        <f t="shared" si="15"/>
        <v>8.7373870972731122</v>
      </c>
      <c r="K189" s="17">
        <v>0</v>
      </c>
      <c r="L189" s="17">
        <v>0</v>
      </c>
      <c r="M189" s="19">
        <f t="shared" si="16"/>
        <v>9.7858735489458848</v>
      </c>
      <c r="N189" s="17">
        <v>0</v>
      </c>
      <c r="O189" s="17">
        <v>0</v>
      </c>
      <c r="P189" s="17">
        <v>0</v>
      </c>
      <c r="Q189" s="19">
        <f t="shared" si="17"/>
        <v>11.009107742564121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</row>
    <row r="190" spans="1:23" ht="15.75" x14ac:dyDescent="0.25">
      <c r="A190" s="11">
        <v>145</v>
      </c>
      <c r="B190" s="17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</row>
    <row r="191" spans="1:23" ht="15.75" x14ac:dyDescent="0.25">
      <c r="A191" s="11">
        <v>150</v>
      </c>
      <c r="B191" s="17">
        <v>0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</row>
  </sheetData>
  <mergeCells count="12">
    <mergeCell ref="A98:A99"/>
    <mergeCell ref="B98:W98"/>
    <mergeCell ref="A130:A131"/>
    <mergeCell ref="B130:W130"/>
    <mergeCell ref="A162:A163"/>
    <mergeCell ref="B162:W162"/>
    <mergeCell ref="A2:A3"/>
    <mergeCell ref="B2:W2"/>
    <mergeCell ref="A34:A35"/>
    <mergeCell ref="B34:W34"/>
    <mergeCell ref="A66:A67"/>
    <mergeCell ref="B66:W6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Desconto Processos</vt:lpstr>
      <vt:lpstr>Acrescimo Tangente</vt:lpstr>
    </vt:vector>
  </TitlesOfParts>
  <Company>Solidworks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Byungwook Kwon</dc:creator>
  <cp:lastModifiedBy>Weslley Santos Ribeiro</cp:lastModifiedBy>
  <cp:lastPrinted>2005-05-31T17:44:19Z</cp:lastPrinted>
  <dcterms:created xsi:type="dcterms:W3CDTF">2001-12-18T14:51:09Z</dcterms:created>
  <dcterms:modified xsi:type="dcterms:W3CDTF">2023-11-20T18:34:39Z</dcterms:modified>
</cp:coreProperties>
</file>