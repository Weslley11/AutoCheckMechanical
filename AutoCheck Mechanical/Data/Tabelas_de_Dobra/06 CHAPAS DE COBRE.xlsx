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APPS\_NONSTD\WAU_PROJETOS\SW\Tabelas de Dobra\"/>
    </mc:Choice>
  </mc:AlternateContent>
  <bookViews>
    <workbookView xWindow="480" yWindow="60" windowWidth="27795" windowHeight="12840"/>
  </bookViews>
  <sheets>
    <sheet name="Sheet1" sheetId="1" r:id="rId1"/>
    <sheet name="Desconto Processos" sheetId="2" r:id="rId2"/>
    <sheet name="Acrescimo Tangente" sheetId="3" r:id="rId3"/>
  </sheets>
  <calcPr calcId="152511"/>
</workbook>
</file>

<file path=xl/calcChain.xml><?xml version="1.0" encoding="utf-8"?>
<calcChain xmlns="http://schemas.openxmlformats.org/spreadsheetml/2006/main">
  <c r="K88" i="1" l="1"/>
  <c r="L88" i="1"/>
  <c r="L87" i="1"/>
  <c r="K87" i="1"/>
  <c r="K85" i="1"/>
  <c r="L85" i="1"/>
  <c r="L84" i="1"/>
  <c r="K84" i="1"/>
  <c r="K83" i="1"/>
  <c r="K82" i="1"/>
  <c r="L82" i="1"/>
  <c r="L81" i="1"/>
  <c r="K81" i="1"/>
  <c r="K79" i="1"/>
  <c r="L79" i="1"/>
  <c r="L78" i="1"/>
  <c r="K78" i="1"/>
  <c r="K76" i="1"/>
  <c r="L76" i="1"/>
  <c r="L75" i="1"/>
  <c r="K75" i="1"/>
  <c r="N121" i="1" l="1"/>
  <c r="M121" i="1"/>
  <c r="N118" i="1"/>
  <c r="M118" i="1"/>
  <c r="N115" i="1"/>
  <c r="M115" i="1"/>
  <c r="N112" i="1"/>
  <c r="M112" i="1"/>
  <c r="N109" i="1"/>
  <c r="M109" i="1"/>
  <c r="N106" i="1"/>
  <c r="M106" i="1"/>
  <c r="L89" i="1"/>
  <c r="K89" i="1"/>
  <c r="L86" i="1"/>
  <c r="K86" i="1"/>
  <c r="L83" i="1"/>
  <c r="L80" i="1"/>
  <c r="K80" i="1"/>
  <c r="L77" i="1"/>
  <c r="K77" i="1"/>
  <c r="L74" i="1"/>
  <c r="K74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F37" i="1"/>
  <c r="E37" i="1"/>
  <c r="D37" i="1"/>
  <c r="C37" i="1"/>
  <c r="F36" i="1"/>
  <c r="E36" i="1"/>
  <c r="D36" i="1"/>
  <c r="C36" i="1"/>
  <c r="F35" i="1"/>
  <c r="E35" i="1"/>
  <c r="D35" i="1"/>
  <c r="C35" i="1"/>
  <c r="F34" i="1"/>
  <c r="E34" i="1"/>
  <c r="D34" i="1"/>
  <c r="C34" i="1"/>
  <c r="F33" i="1"/>
  <c r="E33" i="1"/>
  <c r="D33" i="1"/>
  <c r="C33" i="1"/>
  <c r="F32" i="1"/>
  <c r="E32" i="1"/>
  <c r="D32" i="1"/>
  <c r="C32" i="1"/>
  <c r="F31" i="1"/>
  <c r="E31" i="1"/>
  <c r="D31" i="1"/>
  <c r="C31" i="1"/>
  <c r="F30" i="1"/>
  <c r="E30" i="1"/>
  <c r="D30" i="1"/>
  <c r="C30" i="1"/>
  <c r="F29" i="1"/>
  <c r="E29" i="1"/>
  <c r="D29" i="1"/>
  <c r="C29" i="1"/>
  <c r="F28" i="1"/>
  <c r="E28" i="1"/>
  <c r="D28" i="1"/>
  <c r="C28" i="1"/>
  <c r="F27" i="1"/>
  <c r="E27" i="1"/>
  <c r="D27" i="1"/>
  <c r="C27" i="1"/>
  <c r="F26" i="1"/>
  <c r="E26" i="1"/>
  <c r="D26" i="1"/>
  <c r="C26" i="1"/>
  <c r="F25" i="1"/>
  <c r="E25" i="1"/>
  <c r="D25" i="1"/>
  <c r="C25" i="1"/>
  <c r="F24" i="1"/>
  <c r="E24" i="1"/>
  <c r="D24" i="1"/>
  <c r="C24" i="1"/>
  <c r="F23" i="1"/>
  <c r="E23" i="1"/>
  <c r="D23" i="1"/>
  <c r="C23" i="1"/>
  <c r="F22" i="1"/>
  <c r="E22" i="1"/>
  <c r="D22" i="1"/>
  <c r="C22" i="1"/>
  <c r="F21" i="1"/>
  <c r="E21" i="1"/>
  <c r="D21" i="1"/>
  <c r="C21" i="1"/>
  <c r="F20" i="1"/>
  <c r="E20" i="1"/>
  <c r="D20" i="1"/>
  <c r="C20" i="1"/>
  <c r="F19" i="1"/>
  <c r="E19" i="1"/>
  <c r="D19" i="1"/>
  <c r="C19" i="1"/>
  <c r="F18" i="1"/>
  <c r="E18" i="1"/>
  <c r="D18" i="1"/>
  <c r="C18" i="1"/>
  <c r="F17" i="1"/>
  <c r="E17" i="1"/>
  <c r="D17" i="1"/>
  <c r="C17" i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  <c r="J63" i="3"/>
  <c r="J62" i="3"/>
  <c r="J61" i="3"/>
  <c r="J60" i="3"/>
  <c r="J59" i="3"/>
  <c r="J58" i="3"/>
  <c r="J57" i="3"/>
  <c r="J56" i="3"/>
  <c r="J55" i="3"/>
  <c r="J54" i="3"/>
  <c r="J53" i="3"/>
  <c r="J52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H56" i="3"/>
  <c r="G56" i="3"/>
  <c r="H55" i="3"/>
  <c r="G55" i="3"/>
  <c r="H54" i="3"/>
  <c r="G54" i="3"/>
  <c r="H53" i="3"/>
  <c r="G53" i="3"/>
  <c r="H52" i="3"/>
  <c r="G5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F31" i="3"/>
  <c r="E31" i="3"/>
  <c r="D31" i="3"/>
  <c r="C31" i="3"/>
  <c r="F30" i="3"/>
  <c r="E30" i="3"/>
  <c r="D30" i="3"/>
  <c r="C30" i="3"/>
  <c r="F29" i="3"/>
  <c r="E29" i="3"/>
  <c r="D29" i="3"/>
  <c r="C29" i="3"/>
  <c r="F28" i="3"/>
  <c r="E28" i="3"/>
  <c r="D28" i="3"/>
  <c r="C28" i="3"/>
  <c r="F27" i="3"/>
  <c r="E27" i="3"/>
  <c r="D27" i="3"/>
  <c r="C27" i="3"/>
  <c r="F26" i="3"/>
  <c r="E26" i="3"/>
  <c r="D26" i="3"/>
  <c r="C26" i="3"/>
  <c r="F25" i="3"/>
  <c r="E25" i="3"/>
  <c r="D25" i="3"/>
  <c r="C25" i="3"/>
  <c r="F24" i="3"/>
  <c r="E24" i="3"/>
  <c r="D24" i="3"/>
  <c r="C24" i="3"/>
  <c r="F23" i="3"/>
  <c r="E23" i="3"/>
  <c r="D23" i="3"/>
  <c r="C23" i="3"/>
  <c r="F22" i="3"/>
  <c r="E22" i="3"/>
  <c r="D22" i="3"/>
  <c r="C22" i="3"/>
  <c r="F21" i="3"/>
  <c r="E21" i="3"/>
  <c r="D21" i="3"/>
  <c r="C21" i="3"/>
  <c r="F20" i="3"/>
  <c r="E20" i="3"/>
  <c r="D20" i="3"/>
  <c r="C20" i="3"/>
</calcChain>
</file>

<file path=xl/sharedStrings.xml><?xml version="1.0" encoding="utf-8"?>
<sst xmlns="http://schemas.openxmlformats.org/spreadsheetml/2006/main" count="33" uniqueCount="18">
  <si>
    <t>Unit:</t>
  </si>
  <si>
    <t>Millimeters</t>
  </si>
  <si>
    <t xml:space="preserve">Type: </t>
  </si>
  <si>
    <t>Bend Deduction</t>
  </si>
  <si>
    <t>Material:</t>
  </si>
  <si>
    <t>Cobre</t>
  </si>
  <si>
    <t>Thickness:</t>
  </si>
  <si>
    <t>Angle</t>
  </si>
  <si>
    <t>Raio</t>
  </si>
  <si>
    <t>ESPESSURA</t>
  </si>
  <si>
    <t xml:space="preserve">2 mm  </t>
  </si>
  <si>
    <t xml:space="preserve">3.2 mm </t>
  </si>
  <si>
    <t>4.0mm</t>
  </si>
  <si>
    <t>5.0mm</t>
  </si>
  <si>
    <t>MATRIZ</t>
  </si>
  <si>
    <t>RAIO</t>
  </si>
  <si>
    <t>ÂNGULO ( b)</t>
  </si>
  <si>
    <t>ENCURTAMENTO  ( ∆ 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</si>
</sst>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0" x14ac:knownFonts="1">
    <font>
      <sz val="11"/>
      <color theme="1"/>
      <name val="Calibri"/>
      <family val="2"/>
      <scheme val="minor"/>
    </font>
    <font>
      <sz val="12"/>
      <color indexed="19"/>
      <name val="Arial"/>
      <family val="2"/>
    </font>
    <font>
      <b/>
      <sz val="12"/>
      <color indexed="10"/>
      <name val="Arial"/>
      <family val="2"/>
    </font>
    <font>
      <sz val="12"/>
      <color indexed="17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7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9" fillId="0" borderId="0" xfId="0" applyFont="1" applyFill="1" applyBorder="1"/>
    <xf numFmtId="164" fontId="8" fillId="4" borderId="0" xfId="1" applyNumberFormat="1" applyFont="1" applyFill="1" applyBorder="1" applyAlignment="1">
      <alignment horizontal="center"/>
    </xf>
    <xf numFmtId="164" fontId="8" fillId="0" borderId="0" xfId="1" applyNumberFormat="1" applyFont="1" applyFill="1" applyBorder="1" applyAlignment="1">
      <alignment horizontal="center"/>
    </xf>
    <xf numFmtId="164" fontId="8" fillId="4" borderId="0" xfId="0" applyNumberFormat="1" applyFont="1" applyFill="1" applyBorder="1" applyAlignment="1">
      <alignment horizontal="center"/>
    </xf>
    <xf numFmtId="164" fontId="8" fillId="0" borderId="0" xfId="0" applyNumberFormat="1" applyFont="1" applyFill="1" applyBorder="1" applyAlignment="1">
      <alignment horizontal="center"/>
    </xf>
    <xf numFmtId="164" fontId="9" fillId="4" borderId="0" xfId="1" applyNumberFormat="1" applyFont="1" applyFill="1" applyBorder="1" applyAlignment="1">
      <alignment horizontal="center"/>
    </xf>
    <xf numFmtId="164" fontId="2" fillId="5" borderId="0" xfId="0" applyNumberFormat="1" applyFont="1" applyFill="1" applyAlignment="1">
      <alignment horizontal="center"/>
    </xf>
    <xf numFmtId="164" fontId="8" fillId="5" borderId="0" xfId="1" applyNumberFormat="1" applyFont="1" applyFill="1" applyBorder="1" applyAlignment="1">
      <alignment horizontal="center"/>
    </xf>
    <xf numFmtId="164" fontId="9" fillId="0" borderId="0" xfId="1" applyNumberFormat="1" applyFont="1" applyFill="1" applyBorder="1" applyAlignment="1">
      <alignment horizontal="center"/>
    </xf>
    <xf numFmtId="164" fontId="2" fillId="0" borderId="0" xfId="0" applyNumberFormat="1" applyFont="1" applyFill="1" applyAlignment="1">
      <alignment horizontal="center"/>
    </xf>
    <xf numFmtId="0" fontId="9" fillId="6" borderId="0" xfId="0" applyFont="1" applyFill="1" applyBorder="1"/>
    <xf numFmtId="164" fontId="8" fillId="6" borderId="0" xfId="1" applyNumberFormat="1" applyFont="1" applyFill="1" applyBorder="1" applyAlignment="1">
      <alignment horizontal="center"/>
    </xf>
    <xf numFmtId="164" fontId="8" fillId="7" borderId="0" xfId="1" applyNumberFormat="1" applyFont="1" applyFill="1" applyBorder="1" applyAlignment="1">
      <alignment horizontal="center"/>
    </xf>
    <xf numFmtId="164" fontId="8" fillId="7" borderId="0" xfId="0" applyNumberFormat="1" applyFont="1" applyFill="1" applyBorder="1" applyAlignment="1">
      <alignment horizontal="center"/>
    </xf>
    <xf numFmtId="0" fontId="6" fillId="9" borderId="13" xfId="0" applyFont="1" applyFill="1" applyBorder="1" applyAlignment="1">
      <alignment horizontal="center"/>
    </xf>
    <xf numFmtId="0" fontId="6" fillId="9" borderId="15" xfId="0" applyFont="1" applyFill="1" applyBorder="1" applyAlignment="1">
      <alignment horizontal="center"/>
    </xf>
    <xf numFmtId="0" fontId="6" fillId="10" borderId="15" xfId="0" applyFont="1" applyFill="1" applyBorder="1" applyAlignment="1">
      <alignment horizontal="center"/>
    </xf>
    <xf numFmtId="0" fontId="6" fillId="9" borderId="14" xfId="0" applyFont="1" applyFill="1" applyBorder="1" applyAlignment="1">
      <alignment horizontal="center"/>
    </xf>
    <xf numFmtId="0" fontId="6" fillId="11" borderId="14" xfId="0" applyFont="1" applyFill="1" applyBorder="1" applyAlignment="1">
      <alignment horizontal="center"/>
    </xf>
    <xf numFmtId="0" fontId="6" fillId="8" borderId="16" xfId="0" applyFont="1" applyFill="1" applyBorder="1" applyAlignment="1">
      <alignment horizontal="center"/>
    </xf>
    <xf numFmtId="0" fontId="6" fillId="8" borderId="18" xfId="0" applyFont="1" applyFill="1" applyBorder="1" applyAlignment="1">
      <alignment horizontal="center"/>
    </xf>
    <xf numFmtId="0" fontId="6" fillId="11" borderId="18" xfId="0" applyFont="1" applyFill="1" applyBorder="1" applyAlignment="1">
      <alignment horizontal="center"/>
    </xf>
    <xf numFmtId="0" fontId="6" fillId="8" borderId="16" xfId="0" applyNumberFormat="1" applyFont="1" applyFill="1" applyBorder="1" applyAlignment="1">
      <alignment horizontal="center"/>
    </xf>
    <xf numFmtId="0" fontId="6" fillId="8" borderId="17" xfId="0" applyNumberFormat="1" applyFont="1" applyFill="1" applyBorder="1" applyAlignment="1">
      <alignment horizontal="center"/>
    </xf>
    <xf numFmtId="0" fontId="6" fillId="10" borderId="17" xfId="0" applyNumberFormat="1" applyFont="1" applyFill="1" applyBorder="1" applyAlignment="1">
      <alignment horizontal="center"/>
    </xf>
    <xf numFmtId="0" fontId="6" fillId="8" borderId="18" xfId="0" applyNumberFormat="1" applyFont="1" applyFill="1" applyBorder="1" applyAlignment="1">
      <alignment horizontal="center"/>
    </xf>
    <xf numFmtId="0" fontId="6" fillId="11" borderId="18" xfId="0" applyNumberFormat="1" applyFont="1" applyFill="1" applyBorder="1" applyAlignment="1">
      <alignment horizontal="center"/>
    </xf>
    <xf numFmtId="2" fontId="7" fillId="9" borderId="8" xfId="0" applyNumberFormat="1" applyFont="1" applyFill="1" applyBorder="1" applyAlignment="1">
      <alignment horizontal="center"/>
    </xf>
    <xf numFmtId="2" fontId="7" fillId="9" borderId="10" xfId="0" applyNumberFormat="1" applyFont="1" applyFill="1" applyBorder="1" applyAlignment="1">
      <alignment horizontal="center"/>
    </xf>
    <xf numFmtId="2" fontId="7" fillId="10" borderId="10" xfId="0" applyNumberFormat="1" applyFont="1" applyFill="1" applyBorder="1" applyAlignment="1">
      <alignment horizontal="center"/>
    </xf>
    <xf numFmtId="2" fontId="7" fillId="9" borderId="9" xfId="0" applyNumberFormat="1" applyFont="1" applyFill="1" applyBorder="1" applyAlignment="1">
      <alignment horizontal="center"/>
    </xf>
    <xf numFmtId="2" fontId="7" fillId="11" borderId="9" xfId="0" applyNumberFormat="1" applyFont="1" applyFill="1" applyBorder="1" applyAlignment="1">
      <alignment horizontal="center"/>
    </xf>
    <xf numFmtId="2" fontId="7" fillId="12" borderId="13" xfId="0" applyNumberFormat="1" applyFont="1" applyFill="1" applyBorder="1" applyAlignment="1">
      <alignment horizontal="center"/>
    </xf>
    <xf numFmtId="2" fontId="7" fillId="8" borderId="15" xfId="0" applyNumberFormat="1" applyFont="1" applyFill="1" applyBorder="1" applyAlignment="1">
      <alignment horizontal="center"/>
    </xf>
    <xf numFmtId="2" fontId="7" fillId="10" borderId="15" xfId="0" applyNumberFormat="1" applyFont="1" applyFill="1" applyBorder="1" applyAlignment="1">
      <alignment horizontal="center"/>
    </xf>
    <xf numFmtId="2" fontId="7" fillId="8" borderId="14" xfId="0" applyNumberFormat="1" applyFont="1" applyFill="1" applyBorder="1" applyAlignment="1">
      <alignment horizontal="center"/>
    </xf>
    <xf numFmtId="2" fontId="7" fillId="11" borderId="14" xfId="0" applyNumberFormat="1" applyFont="1" applyFill="1" applyBorder="1" applyAlignment="1">
      <alignment horizontal="center"/>
    </xf>
    <xf numFmtId="2" fontId="7" fillId="9" borderId="13" xfId="0" applyNumberFormat="1" applyFont="1" applyFill="1" applyBorder="1" applyAlignment="1">
      <alignment horizontal="center"/>
    </xf>
    <xf numFmtId="2" fontId="7" fillId="9" borderId="15" xfId="0" applyNumberFormat="1" applyFont="1" applyFill="1" applyBorder="1" applyAlignment="1">
      <alignment horizontal="center"/>
    </xf>
    <xf numFmtId="2" fontId="7" fillId="9" borderId="14" xfId="0" applyNumberFormat="1" applyFont="1" applyFill="1" applyBorder="1" applyAlignment="1">
      <alignment horizontal="center"/>
    </xf>
    <xf numFmtId="2" fontId="7" fillId="10" borderId="13" xfId="0" applyNumberFormat="1" applyFont="1" applyFill="1" applyBorder="1" applyAlignment="1">
      <alignment horizontal="center"/>
    </xf>
    <xf numFmtId="2" fontId="7" fillId="10" borderId="14" xfId="0" applyNumberFormat="1" applyFont="1" applyFill="1" applyBorder="1" applyAlignment="1">
      <alignment horizontal="center"/>
    </xf>
    <xf numFmtId="2" fontId="7" fillId="8" borderId="16" xfId="0" applyNumberFormat="1" applyFont="1" applyFill="1" applyBorder="1" applyAlignment="1">
      <alignment horizontal="center"/>
    </xf>
    <xf numFmtId="2" fontId="7" fillId="8" borderId="17" xfId="0" applyNumberFormat="1" applyFont="1" applyFill="1" applyBorder="1" applyAlignment="1">
      <alignment horizontal="center"/>
    </xf>
    <xf numFmtId="2" fontId="7" fillId="10" borderId="17" xfId="0" applyNumberFormat="1" applyFont="1" applyFill="1" applyBorder="1" applyAlignment="1">
      <alignment horizontal="center"/>
    </xf>
    <xf numFmtId="2" fontId="7" fillId="8" borderId="18" xfId="0" applyNumberFormat="1" applyFont="1" applyFill="1" applyBorder="1" applyAlignment="1">
      <alignment horizontal="center"/>
    </xf>
    <xf numFmtId="2" fontId="7" fillId="11" borderId="18" xfId="0" applyNumberFormat="1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8" borderId="13" xfId="0" applyFont="1" applyFill="1" applyBorder="1" applyAlignment="1">
      <alignment horizontal="center"/>
    </xf>
    <xf numFmtId="0" fontId="6" fillId="9" borderId="13" xfId="0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center"/>
    </xf>
    <xf numFmtId="164" fontId="8" fillId="5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3"/>
  <sheetViews>
    <sheetView tabSelected="1" zoomScale="85" zoomScaleNormal="85" workbookViewId="0">
      <selection activeCell="Q45" sqref="Q45"/>
    </sheetView>
  </sheetViews>
  <sheetFormatPr defaultRowHeight="15" x14ac:dyDescent="0.25"/>
  <cols>
    <col min="1" max="1" width="13.5703125" bestFit="1" customWidth="1"/>
    <col min="2" max="14" width="10.7109375" customWidth="1"/>
  </cols>
  <sheetData>
    <row r="1" spans="1:14" ht="15.75" x14ac:dyDescent="0.25">
      <c r="A1" s="1"/>
      <c r="B1" s="2"/>
      <c r="C1" s="1"/>
    </row>
    <row r="2" spans="1:14" ht="15.75" x14ac:dyDescent="0.25">
      <c r="A2" s="3" t="s">
        <v>0</v>
      </c>
      <c r="B2" s="4" t="s">
        <v>1</v>
      </c>
      <c r="C2" s="1"/>
    </row>
    <row r="3" spans="1:14" ht="15.75" x14ac:dyDescent="0.25">
      <c r="A3" s="3" t="s">
        <v>2</v>
      </c>
      <c r="B3" s="4" t="s">
        <v>3</v>
      </c>
      <c r="C3" s="1"/>
    </row>
    <row r="4" spans="1:14" ht="15.75" x14ac:dyDescent="0.25">
      <c r="A4" s="3" t="s">
        <v>4</v>
      </c>
      <c r="B4" s="4" t="s">
        <v>5</v>
      </c>
      <c r="C4" s="5"/>
    </row>
    <row r="6" spans="1:14" ht="15.75" thickBot="1" x14ac:dyDescent="0.3"/>
    <row r="7" spans="1:14" ht="16.5" thickBot="1" x14ac:dyDescent="0.3">
      <c r="A7" s="6" t="s">
        <v>6</v>
      </c>
      <c r="B7" s="7">
        <v>2</v>
      </c>
      <c r="C7" s="5"/>
      <c r="D7" s="5"/>
      <c r="E7" s="5"/>
      <c r="F7" s="5"/>
      <c r="G7" s="5"/>
      <c r="H7" s="5"/>
      <c r="I7" s="5"/>
      <c r="J7" s="5"/>
    </row>
    <row r="8" spans="1:14" ht="16.5" thickBot="1" x14ac:dyDescent="0.3">
      <c r="A8" s="62" t="s">
        <v>7</v>
      </c>
      <c r="B8" s="64" t="s">
        <v>8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6"/>
    </row>
    <row r="9" spans="1:14" ht="16.5" thickBot="1" x14ac:dyDescent="0.3">
      <c r="A9" s="67"/>
      <c r="B9" s="14">
        <v>0.5</v>
      </c>
      <c r="C9" s="14">
        <v>1.3</v>
      </c>
      <c r="D9" s="14">
        <v>1.4</v>
      </c>
      <c r="E9" s="14">
        <v>1.5</v>
      </c>
      <c r="F9" s="14">
        <v>1.6</v>
      </c>
      <c r="G9" s="8">
        <v>2</v>
      </c>
      <c r="H9" s="14">
        <v>2.1</v>
      </c>
      <c r="I9" s="14">
        <v>2.5</v>
      </c>
      <c r="J9" s="8">
        <v>2.8</v>
      </c>
      <c r="K9" s="8">
        <v>3.2</v>
      </c>
      <c r="L9" s="8">
        <v>3.3</v>
      </c>
      <c r="M9" s="8">
        <v>4</v>
      </c>
      <c r="N9" s="8">
        <v>4.2</v>
      </c>
    </row>
    <row r="10" spans="1:14" ht="15.75" x14ac:dyDescent="0.25">
      <c r="A10" s="9">
        <v>15</v>
      </c>
      <c r="B10" s="61">
        <v>1.2</v>
      </c>
      <c r="C10" s="61">
        <f>2*(-1*INDEX('Desconto Processos'!$B$5:$G$32,MATCH(180-$A10,'Desconto Processos'!$A$5:$A$32,0),MATCH(C$9,'Desconto Processos'!$B$3:$G$3,0))+INDEX('Acrescimo Tangente'!$B$4:$N$31,MATCH($A10,$A$10:$A$37,0),MATCH(C$9,$B$9:$N$9,0)))</f>
        <v>0.3</v>
      </c>
      <c r="D10" s="10">
        <f>2*(-1*INDEX('Desconto Processos'!$B$5:$G$32,MATCH(180-$A10,'Desconto Processos'!$A$5:$A$32,0),MATCH(D$9,'Desconto Processos'!$B$3:$G$3,0))+INDEX('Acrescimo Tangente'!$B$4:$N$31,MATCH($A10,$A$10:$A$37,0),MATCH(D$9,$B$9:$N$9,0)))</f>
        <v>0.3</v>
      </c>
      <c r="E10" s="10">
        <f>2*(-1*INDEX('Desconto Processos'!$B$5:$G$32,MATCH(180-$A10,'Desconto Processos'!$A$5:$A$32,0),MATCH(E$9,'Desconto Processos'!$B$3:$G$3,0))+INDEX('Acrescimo Tangente'!$B$4:$N$31,MATCH($A10,$A$10:$A$37,0),MATCH(E$9,$B$9:$N$9,0)))</f>
        <v>0.4</v>
      </c>
      <c r="F10" s="10">
        <f>2*(-1*INDEX('Desconto Processos'!$B$5:$G$32,MATCH(180-$A10,'Desconto Processos'!$A$5:$A$32,0),MATCH(F$9,'Desconto Processos'!$B$3:$G$3,0))+INDEX('Acrescimo Tangente'!$B$4:$N$31,MATCH($A10,$A$10:$A$37,0),MATCH(F$9,$B$9:$N$9,0)))</f>
        <v>0.4</v>
      </c>
      <c r="G10" s="11">
        <v>0</v>
      </c>
      <c r="H10" s="10">
        <f>2*(-1*INDEX('Desconto Processos'!$B$5:$G$32,MATCH(180-$A10,'Desconto Processos'!$A$5:$A$32,0),MATCH(H$9,'Desconto Processos'!$B$3:$G$3,0))+INDEX('Acrescimo Tangente'!$B$4:$N$31,MATCH($A10,$A$10:$A$37,0),MATCH(H$9,$B$9:$N$9,0)))</f>
        <v>0.4</v>
      </c>
      <c r="I10" s="10">
        <f>2*(-1*INDEX('Desconto Processos'!$B$5:$G$32,MATCH(180-$A10,'Desconto Processos'!$A$5:$A$32,0),MATCH(I$9,'Desconto Processos'!$B$3:$G$3,0))+INDEX('Acrescimo Tangente'!$B$4:$N$31,MATCH($A10,$A$10:$A$37,0),MATCH(I$9,$B$9:$N$9,0)))</f>
        <v>0.4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</row>
    <row r="11" spans="1:14" ht="15.75" x14ac:dyDescent="0.25">
      <c r="A11" s="9">
        <v>20</v>
      </c>
      <c r="B11" s="10">
        <v>1.2</v>
      </c>
      <c r="C11" s="10">
        <f>2*(-1*INDEX('Desconto Processos'!$B$5:$G$32,MATCH(180-$A11,'Desconto Processos'!$A$5:$A$32,0),MATCH(C$9,'Desconto Processos'!$B$3:$G$3,0))+INDEX('Acrescimo Tangente'!$B$4:$N$31,MATCH($A11,$A$10:$A$37,0),MATCH(C$9,$B$9:$N$9,0)))</f>
        <v>0.4</v>
      </c>
      <c r="D11" s="10">
        <f>2*(-1*INDEX('Desconto Processos'!$B$5:$G$32,MATCH(180-$A11,'Desconto Processos'!$A$5:$A$32,0),MATCH(D$9,'Desconto Processos'!$B$3:$G$3,0))+INDEX('Acrescimo Tangente'!$B$4:$N$31,MATCH($A11,$A$10:$A$37,0),MATCH(D$9,$B$9:$N$9,0)))</f>
        <v>0.4</v>
      </c>
      <c r="E11" s="10">
        <f>2*(-1*INDEX('Desconto Processos'!$B$5:$G$32,MATCH(180-$A11,'Desconto Processos'!$A$5:$A$32,0),MATCH(E$9,'Desconto Processos'!$B$3:$G$3,0))+INDEX('Acrescimo Tangente'!$B$4:$N$31,MATCH($A11,$A$10:$A$37,0),MATCH(E$9,$B$9:$N$9,0)))</f>
        <v>0.5</v>
      </c>
      <c r="F11" s="10">
        <f>2*(-1*INDEX('Desconto Processos'!$B$5:$G$32,MATCH(180-$A11,'Desconto Processos'!$A$5:$A$32,0),MATCH(F$9,'Desconto Processos'!$B$3:$G$3,0))+INDEX('Acrescimo Tangente'!$B$4:$N$31,MATCH($A11,$A$10:$A$37,0),MATCH(F$9,$B$9:$N$9,0)))</f>
        <v>0.5</v>
      </c>
      <c r="G11" s="11">
        <v>0</v>
      </c>
      <c r="H11" s="10">
        <f>2*(-1*INDEX('Desconto Processos'!$B$5:$G$32,MATCH(180-$A11,'Desconto Processos'!$A$5:$A$32,0),MATCH(H$9,'Desconto Processos'!$B$3:$G$3,0))+INDEX('Acrescimo Tangente'!$B$4:$N$31,MATCH($A11,$A$10:$A$37,0),MATCH(H$9,$B$9:$N$9,0)))</f>
        <v>0.5</v>
      </c>
      <c r="I11" s="10">
        <f>2*(-1*INDEX('Desconto Processos'!$B$5:$G$32,MATCH(180-$A11,'Desconto Processos'!$A$5:$A$32,0),MATCH(I$9,'Desconto Processos'!$B$3:$G$3,0))+INDEX('Acrescimo Tangente'!$B$4:$N$31,MATCH($A11,$A$10:$A$37,0),MATCH(I$9,$B$9:$N$9,0)))</f>
        <v>0.5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</row>
    <row r="12" spans="1:14" ht="15.75" x14ac:dyDescent="0.25">
      <c r="A12" s="9">
        <v>25</v>
      </c>
      <c r="B12" s="10">
        <v>1.2</v>
      </c>
      <c r="C12" s="10">
        <f>2*(-1*INDEX('Desconto Processos'!$B$5:$G$32,MATCH(180-$A12,'Desconto Processos'!$A$5:$A$32,0),MATCH(C$9,'Desconto Processos'!$B$3:$G$3,0))+INDEX('Acrescimo Tangente'!$B$4:$N$31,MATCH($A12,$A$10:$A$37,0),MATCH(C$9,$B$9:$N$9,0)))</f>
        <v>0.6</v>
      </c>
      <c r="D12" s="10">
        <f>2*(-1*INDEX('Desconto Processos'!$B$5:$G$32,MATCH(180-$A12,'Desconto Processos'!$A$5:$A$32,0),MATCH(D$9,'Desconto Processos'!$B$3:$G$3,0))+INDEX('Acrescimo Tangente'!$B$4:$N$31,MATCH($A12,$A$10:$A$37,0),MATCH(D$9,$B$9:$N$9,0)))</f>
        <v>0.6</v>
      </c>
      <c r="E12" s="10">
        <f>2*(-1*INDEX('Desconto Processos'!$B$5:$G$32,MATCH(180-$A12,'Desconto Processos'!$A$5:$A$32,0),MATCH(E$9,'Desconto Processos'!$B$3:$G$3,0))+INDEX('Acrescimo Tangente'!$B$4:$N$31,MATCH($A12,$A$10:$A$37,0),MATCH(E$9,$B$9:$N$9,0)))</f>
        <v>0.6</v>
      </c>
      <c r="F12" s="10">
        <f>2*(-1*INDEX('Desconto Processos'!$B$5:$G$32,MATCH(180-$A12,'Desconto Processos'!$A$5:$A$32,0),MATCH(F$9,'Desconto Processos'!$B$3:$G$3,0))+INDEX('Acrescimo Tangente'!$B$4:$N$31,MATCH($A12,$A$10:$A$37,0),MATCH(F$9,$B$9:$N$9,0)))</f>
        <v>0.7</v>
      </c>
      <c r="G12" s="11">
        <v>0</v>
      </c>
      <c r="H12" s="10">
        <f>2*(-1*INDEX('Desconto Processos'!$B$5:$G$32,MATCH(180-$A12,'Desconto Processos'!$A$5:$A$32,0),MATCH(H$9,'Desconto Processos'!$B$3:$G$3,0))+INDEX('Acrescimo Tangente'!$B$4:$N$31,MATCH($A12,$A$10:$A$37,0),MATCH(H$9,$B$9:$N$9,0)))</f>
        <v>0.6</v>
      </c>
      <c r="I12" s="10">
        <f>2*(-1*INDEX('Desconto Processos'!$B$5:$G$32,MATCH(180-$A12,'Desconto Processos'!$A$5:$A$32,0),MATCH(I$9,'Desconto Processos'!$B$3:$G$3,0))+INDEX('Acrescimo Tangente'!$B$4:$N$31,MATCH($A12,$A$10:$A$37,0),MATCH(I$9,$B$9:$N$9,0)))</f>
        <v>0.6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</row>
    <row r="13" spans="1:14" ht="15.75" x14ac:dyDescent="0.25">
      <c r="A13" s="9">
        <v>30</v>
      </c>
      <c r="B13" s="10">
        <v>1.2</v>
      </c>
      <c r="C13" s="10">
        <f>2*(-1*INDEX('Desconto Processos'!$B$5:$G$32,MATCH(180-$A13,'Desconto Processos'!$A$5:$A$32,0),MATCH(C$9,'Desconto Processos'!$B$3:$G$3,0))+INDEX('Acrescimo Tangente'!$B$4:$N$31,MATCH($A13,$A$10:$A$37,0),MATCH(C$9,$B$9:$N$9,0)))</f>
        <v>0.7</v>
      </c>
      <c r="D13" s="10">
        <f>2*(-1*INDEX('Desconto Processos'!$B$5:$G$32,MATCH(180-$A13,'Desconto Processos'!$A$5:$A$32,0),MATCH(D$9,'Desconto Processos'!$B$3:$G$3,0))+INDEX('Acrescimo Tangente'!$B$4:$N$31,MATCH($A13,$A$10:$A$37,0),MATCH(D$9,$B$9:$N$9,0)))</f>
        <v>0.7</v>
      </c>
      <c r="E13" s="10">
        <f>2*(-1*INDEX('Desconto Processos'!$B$5:$G$32,MATCH(180-$A13,'Desconto Processos'!$A$5:$A$32,0),MATCH(E$9,'Desconto Processos'!$B$3:$G$3,0))+INDEX('Acrescimo Tangente'!$B$4:$N$31,MATCH($A13,$A$10:$A$37,0),MATCH(E$9,$B$9:$N$9,0)))</f>
        <v>0.7</v>
      </c>
      <c r="F13" s="10">
        <f>2*(-1*INDEX('Desconto Processos'!$B$5:$G$32,MATCH(180-$A13,'Desconto Processos'!$A$5:$A$32,0),MATCH(F$9,'Desconto Processos'!$B$3:$G$3,0))+INDEX('Acrescimo Tangente'!$B$4:$N$31,MATCH($A13,$A$10:$A$37,0),MATCH(F$9,$B$9:$N$9,0)))</f>
        <v>0.8</v>
      </c>
      <c r="G13" s="11">
        <v>0</v>
      </c>
      <c r="H13" s="10">
        <f>2*(-1*INDEX('Desconto Processos'!$B$5:$G$32,MATCH(180-$A13,'Desconto Processos'!$A$5:$A$32,0),MATCH(H$9,'Desconto Processos'!$B$3:$G$3,0))+INDEX('Acrescimo Tangente'!$B$4:$N$31,MATCH($A13,$A$10:$A$37,0),MATCH(H$9,$B$9:$N$9,0)))</f>
        <v>0.8</v>
      </c>
      <c r="I13" s="10">
        <f>2*(-1*INDEX('Desconto Processos'!$B$5:$G$32,MATCH(180-$A13,'Desconto Processos'!$A$5:$A$32,0),MATCH(I$9,'Desconto Processos'!$B$3:$G$3,0))+INDEX('Acrescimo Tangente'!$B$4:$N$31,MATCH($A13,$A$10:$A$37,0),MATCH(I$9,$B$9:$N$9,0)))</f>
        <v>0.8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</row>
    <row r="14" spans="1:14" ht="15.75" x14ac:dyDescent="0.25">
      <c r="A14" s="9">
        <v>35</v>
      </c>
      <c r="B14" s="10">
        <v>1.2</v>
      </c>
      <c r="C14" s="10">
        <f>2*(-1*INDEX('Desconto Processos'!$B$5:$G$32,MATCH(180-$A14,'Desconto Processos'!$A$5:$A$32,0),MATCH(C$9,'Desconto Processos'!$B$3:$G$3,0))+INDEX('Acrescimo Tangente'!$B$4:$N$31,MATCH($A14,$A$10:$A$37,0),MATCH(C$9,$B$9:$N$9,0)))</f>
        <v>0.9</v>
      </c>
      <c r="D14" s="10">
        <f>2*(-1*INDEX('Desconto Processos'!$B$5:$G$32,MATCH(180-$A14,'Desconto Processos'!$A$5:$A$32,0),MATCH(D$9,'Desconto Processos'!$B$3:$G$3,0))+INDEX('Acrescimo Tangente'!$B$4:$N$31,MATCH($A14,$A$10:$A$37,0),MATCH(D$9,$B$9:$N$9,0)))</f>
        <v>0.8</v>
      </c>
      <c r="E14" s="10">
        <f>2*(-1*INDEX('Desconto Processos'!$B$5:$G$32,MATCH(180-$A14,'Desconto Processos'!$A$5:$A$32,0),MATCH(E$9,'Desconto Processos'!$B$3:$G$3,0))+INDEX('Acrescimo Tangente'!$B$4:$N$31,MATCH($A14,$A$10:$A$37,0),MATCH(E$9,$B$9:$N$9,0)))</f>
        <v>0.8</v>
      </c>
      <c r="F14" s="10">
        <f>2*(-1*INDEX('Desconto Processos'!$B$5:$G$32,MATCH(180-$A14,'Desconto Processos'!$A$5:$A$32,0),MATCH(F$9,'Desconto Processos'!$B$3:$G$3,0))+INDEX('Acrescimo Tangente'!$B$4:$N$31,MATCH($A14,$A$10:$A$37,0),MATCH(F$9,$B$9:$N$9,0)))</f>
        <v>1</v>
      </c>
      <c r="G14" s="11">
        <v>0</v>
      </c>
      <c r="H14" s="10">
        <f>2*(-1*INDEX('Desconto Processos'!$B$5:$G$32,MATCH(180-$A14,'Desconto Processos'!$A$5:$A$32,0),MATCH(H$9,'Desconto Processos'!$B$3:$G$3,0))+INDEX('Acrescimo Tangente'!$B$4:$N$31,MATCH($A14,$A$10:$A$37,0),MATCH(H$9,$B$9:$N$9,0)))</f>
        <v>1</v>
      </c>
      <c r="I14" s="10">
        <f>2*(-1*INDEX('Desconto Processos'!$B$5:$G$32,MATCH(180-$A14,'Desconto Processos'!$A$5:$A$32,0),MATCH(I$9,'Desconto Processos'!$B$3:$G$3,0))+INDEX('Acrescimo Tangente'!$B$4:$N$31,MATCH($A14,$A$10:$A$37,0),MATCH(I$9,$B$9:$N$9,0)))</f>
        <v>0.9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</row>
    <row r="15" spans="1:14" ht="15.75" x14ac:dyDescent="0.25">
      <c r="A15" s="9">
        <v>40</v>
      </c>
      <c r="B15" s="10">
        <v>1.2</v>
      </c>
      <c r="C15" s="10">
        <f>2*(-1*INDEX('Desconto Processos'!$B$5:$G$32,MATCH(180-$A15,'Desconto Processos'!$A$5:$A$32,0),MATCH(C$9,'Desconto Processos'!$B$3:$G$3,0))+INDEX('Acrescimo Tangente'!$B$4:$N$31,MATCH($A15,$A$10:$A$37,0),MATCH(C$9,$B$9:$N$9,0)))</f>
        <v>1.1000000000000001</v>
      </c>
      <c r="D15" s="10">
        <f>2*(-1*INDEX('Desconto Processos'!$B$5:$G$32,MATCH(180-$A15,'Desconto Processos'!$A$5:$A$32,0),MATCH(D$9,'Desconto Processos'!$B$3:$G$3,0))+INDEX('Acrescimo Tangente'!$B$4:$N$31,MATCH($A15,$A$10:$A$37,0),MATCH(D$9,$B$9:$N$9,0)))</f>
        <v>1.1000000000000001</v>
      </c>
      <c r="E15" s="10">
        <f>2*(-1*INDEX('Desconto Processos'!$B$5:$G$32,MATCH(180-$A15,'Desconto Processos'!$A$5:$A$32,0),MATCH(E$9,'Desconto Processos'!$B$3:$G$3,0))+INDEX('Acrescimo Tangente'!$B$4:$N$31,MATCH($A15,$A$10:$A$37,0),MATCH(E$9,$B$9:$N$9,0)))</f>
        <v>1</v>
      </c>
      <c r="F15" s="10">
        <f>2*(-1*INDEX('Desconto Processos'!$B$5:$G$32,MATCH(180-$A15,'Desconto Processos'!$A$5:$A$32,0),MATCH(F$9,'Desconto Processos'!$B$3:$G$3,0))+INDEX('Acrescimo Tangente'!$B$4:$N$31,MATCH($A15,$A$10:$A$37,0),MATCH(F$9,$B$9:$N$9,0)))</f>
        <v>1.1000000000000001</v>
      </c>
      <c r="G15" s="11">
        <v>0</v>
      </c>
      <c r="H15" s="10">
        <f>2*(-1*INDEX('Desconto Processos'!$B$5:$G$32,MATCH(180-$A15,'Desconto Processos'!$A$5:$A$32,0),MATCH(H$9,'Desconto Processos'!$B$3:$G$3,0))+INDEX('Acrescimo Tangente'!$B$4:$N$31,MATCH($A15,$A$10:$A$37,0),MATCH(H$9,$B$9:$N$9,0)))</f>
        <v>1.1000000000000001</v>
      </c>
      <c r="I15" s="10">
        <f>2*(-1*INDEX('Desconto Processos'!$B$5:$G$32,MATCH(180-$A15,'Desconto Processos'!$A$5:$A$32,0),MATCH(I$9,'Desconto Processos'!$B$3:$G$3,0))+INDEX('Acrescimo Tangente'!$B$4:$N$31,MATCH($A15,$A$10:$A$37,0),MATCH(I$9,$B$9:$N$9,0)))</f>
        <v>1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</row>
    <row r="16" spans="1:14" ht="15.75" x14ac:dyDescent="0.25">
      <c r="A16" s="9">
        <v>45</v>
      </c>
      <c r="B16" s="10">
        <v>1.2</v>
      </c>
      <c r="C16" s="10">
        <f>2*(-1*INDEX('Desconto Processos'!$B$5:$G$32,MATCH(180-$A16,'Desconto Processos'!$A$5:$A$32,0),MATCH(C$9,'Desconto Processos'!$B$3:$G$3,0))+INDEX('Acrescimo Tangente'!$B$4:$N$31,MATCH($A16,$A$10:$A$37,0),MATCH(C$9,$B$9:$N$9,0)))</f>
        <v>1.2</v>
      </c>
      <c r="D16" s="10">
        <f>2*(-1*INDEX('Desconto Processos'!$B$5:$G$32,MATCH(180-$A16,'Desconto Processos'!$A$5:$A$32,0),MATCH(D$9,'Desconto Processos'!$B$3:$G$3,0))+INDEX('Acrescimo Tangente'!$B$4:$N$31,MATCH($A16,$A$10:$A$37,0),MATCH(D$9,$B$9:$N$9,0)))</f>
        <v>1.2</v>
      </c>
      <c r="E16" s="10">
        <f>2*(-1*INDEX('Desconto Processos'!$B$5:$G$32,MATCH(180-$A16,'Desconto Processos'!$A$5:$A$32,0),MATCH(E$9,'Desconto Processos'!$B$3:$G$3,0))+INDEX('Acrescimo Tangente'!$B$4:$N$31,MATCH($A16,$A$10:$A$37,0),MATCH(E$9,$B$9:$N$9,0)))</f>
        <v>1.2</v>
      </c>
      <c r="F16" s="10">
        <f>2*(-1*INDEX('Desconto Processos'!$B$5:$G$32,MATCH(180-$A16,'Desconto Processos'!$A$5:$A$32,0),MATCH(F$9,'Desconto Processos'!$B$3:$G$3,0))+INDEX('Acrescimo Tangente'!$B$4:$N$31,MATCH($A16,$A$10:$A$37,0),MATCH(F$9,$B$9:$N$9,0)))</f>
        <v>1.3</v>
      </c>
      <c r="G16" s="11">
        <v>0</v>
      </c>
      <c r="H16" s="10">
        <f>2*(-1*INDEX('Desconto Processos'!$B$5:$G$32,MATCH(180-$A16,'Desconto Processos'!$A$5:$A$32,0),MATCH(H$9,'Desconto Processos'!$B$3:$G$3,0))+INDEX('Acrescimo Tangente'!$B$4:$N$31,MATCH($A16,$A$10:$A$37,0),MATCH(H$9,$B$9:$N$9,0)))</f>
        <v>1.3</v>
      </c>
      <c r="I16" s="10">
        <f>2*(-1*INDEX('Desconto Processos'!$B$5:$G$32,MATCH(180-$A16,'Desconto Processos'!$A$5:$A$32,0),MATCH(I$9,'Desconto Processos'!$B$3:$G$3,0))+INDEX('Acrescimo Tangente'!$B$4:$N$31,MATCH($A16,$A$10:$A$37,0),MATCH(I$9,$B$9:$N$9,0)))</f>
        <v>1.2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</row>
    <row r="17" spans="1:14" ht="15.75" x14ac:dyDescent="0.25">
      <c r="A17" s="9">
        <v>50</v>
      </c>
      <c r="B17" s="10">
        <v>1.2</v>
      </c>
      <c r="C17" s="10">
        <f>2*(-1*INDEX('Desconto Processos'!$B$5:$G$32,MATCH(180-$A17,'Desconto Processos'!$A$5:$A$32,0),MATCH(C$9,'Desconto Processos'!$B$3:$G$3,0))+INDEX('Acrescimo Tangente'!$B$4:$N$31,MATCH($A17,$A$10:$A$37,0),MATCH(C$9,$B$9:$N$9,0)))</f>
        <v>1.4</v>
      </c>
      <c r="D17" s="10">
        <f>2*(-1*INDEX('Desconto Processos'!$B$5:$G$32,MATCH(180-$A17,'Desconto Processos'!$A$5:$A$32,0),MATCH(D$9,'Desconto Processos'!$B$3:$G$3,0))+INDEX('Acrescimo Tangente'!$B$4:$N$31,MATCH($A17,$A$10:$A$37,0),MATCH(D$9,$B$9:$N$9,0)))</f>
        <v>1.4</v>
      </c>
      <c r="E17" s="10">
        <f>2*(-1*INDEX('Desconto Processos'!$B$5:$G$32,MATCH(180-$A17,'Desconto Processos'!$A$5:$A$32,0),MATCH(E$9,'Desconto Processos'!$B$3:$G$3,0))+INDEX('Acrescimo Tangente'!$B$4:$N$31,MATCH($A17,$A$10:$A$37,0),MATCH(E$9,$B$9:$N$9,0)))</f>
        <v>1.4</v>
      </c>
      <c r="F17" s="10">
        <f>2*(-1*INDEX('Desconto Processos'!$B$5:$G$32,MATCH(180-$A17,'Desconto Processos'!$A$5:$A$32,0),MATCH(F$9,'Desconto Processos'!$B$3:$G$3,0))+INDEX('Acrescimo Tangente'!$B$4:$N$31,MATCH($A17,$A$10:$A$37,0),MATCH(F$9,$B$9:$N$9,0)))</f>
        <v>1.4</v>
      </c>
      <c r="G17" s="11">
        <v>0</v>
      </c>
      <c r="H17" s="10">
        <f>2*(-1*INDEX('Desconto Processos'!$B$5:$G$32,MATCH(180-$A17,'Desconto Processos'!$A$5:$A$32,0),MATCH(H$9,'Desconto Processos'!$B$3:$G$3,0))+INDEX('Acrescimo Tangente'!$B$4:$N$31,MATCH($A17,$A$10:$A$37,0),MATCH(H$9,$B$9:$N$9,0)))</f>
        <v>1.4</v>
      </c>
      <c r="I17" s="10">
        <f>2*(-1*INDEX('Desconto Processos'!$B$5:$G$32,MATCH(180-$A17,'Desconto Processos'!$A$5:$A$32,0),MATCH(I$9,'Desconto Processos'!$B$3:$G$3,0))+INDEX('Acrescimo Tangente'!$B$4:$N$31,MATCH($A17,$A$10:$A$37,0),MATCH(I$9,$B$9:$N$9,0)))</f>
        <v>1.4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</row>
    <row r="18" spans="1:14" ht="15.75" x14ac:dyDescent="0.25">
      <c r="A18" s="9">
        <v>55</v>
      </c>
      <c r="B18" s="10">
        <v>1.2</v>
      </c>
      <c r="C18" s="10">
        <f>2*(-1*INDEX('Desconto Processos'!$B$5:$G$32,MATCH(180-$A18,'Desconto Processos'!$A$5:$A$32,0),MATCH(C$9,'Desconto Processos'!$B$3:$G$3,0))+INDEX('Acrescimo Tangente'!$B$4:$N$31,MATCH($A18,$A$10:$A$37,0),MATCH(C$9,$B$9:$N$9,0)))</f>
        <v>1.6</v>
      </c>
      <c r="D18" s="10">
        <f>2*(-1*INDEX('Desconto Processos'!$B$5:$G$32,MATCH(180-$A18,'Desconto Processos'!$A$5:$A$32,0),MATCH(D$9,'Desconto Processos'!$B$3:$G$3,0))+INDEX('Acrescimo Tangente'!$B$4:$N$31,MATCH($A18,$A$10:$A$37,0),MATCH(D$9,$B$9:$N$9,0)))</f>
        <v>1.6</v>
      </c>
      <c r="E18" s="10">
        <f>2*(-1*INDEX('Desconto Processos'!$B$5:$G$32,MATCH(180-$A18,'Desconto Processos'!$A$5:$A$32,0),MATCH(E$9,'Desconto Processos'!$B$3:$G$3,0))+INDEX('Acrescimo Tangente'!$B$4:$N$31,MATCH($A18,$A$10:$A$37,0),MATCH(E$9,$B$9:$N$9,0)))</f>
        <v>1.6</v>
      </c>
      <c r="F18" s="10">
        <f>2*(-1*INDEX('Desconto Processos'!$B$5:$G$32,MATCH(180-$A18,'Desconto Processos'!$A$5:$A$32,0),MATCH(F$9,'Desconto Processos'!$B$3:$G$3,0))+INDEX('Acrescimo Tangente'!$B$4:$N$31,MATCH($A18,$A$10:$A$37,0),MATCH(F$9,$B$9:$N$9,0)))</f>
        <v>1.7</v>
      </c>
      <c r="G18" s="11">
        <v>0</v>
      </c>
      <c r="H18" s="10">
        <f>2*(-1*INDEX('Desconto Processos'!$B$5:$G$32,MATCH(180-$A18,'Desconto Processos'!$A$5:$A$32,0),MATCH(H$9,'Desconto Processos'!$B$3:$G$3,0))+INDEX('Acrescimo Tangente'!$B$4:$N$31,MATCH($A18,$A$10:$A$37,0),MATCH(H$9,$B$9:$N$9,0)))</f>
        <v>1.6</v>
      </c>
      <c r="I18" s="10">
        <f>2*(-1*INDEX('Desconto Processos'!$B$5:$G$32,MATCH(180-$A18,'Desconto Processos'!$A$5:$A$32,0),MATCH(I$9,'Desconto Processos'!$B$3:$G$3,0))+INDEX('Acrescimo Tangente'!$B$4:$N$31,MATCH($A18,$A$10:$A$37,0),MATCH(I$9,$B$9:$N$9,0)))</f>
        <v>1.7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</row>
    <row r="19" spans="1:14" ht="15.75" x14ac:dyDescent="0.25">
      <c r="A19" s="9">
        <v>60</v>
      </c>
      <c r="B19" s="10">
        <v>1.2</v>
      </c>
      <c r="C19" s="10">
        <f>2*(-1*INDEX('Desconto Processos'!$B$5:$G$32,MATCH(180-$A19,'Desconto Processos'!$A$5:$A$32,0),MATCH(C$9,'Desconto Processos'!$B$3:$G$3,0))+INDEX('Acrescimo Tangente'!$B$4:$N$31,MATCH($A19,$A$10:$A$37,0),MATCH(C$9,$B$9:$N$9,0)))</f>
        <v>1.7</v>
      </c>
      <c r="D19" s="10">
        <f>2*(-1*INDEX('Desconto Processos'!$B$5:$G$32,MATCH(180-$A19,'Desconto Processos'!$A$5:$A$32,0),MATCH(D$9,'Desconto Processos'!$B$3:$G$3,0))+INDEX('Acrescimo Tangente'!$B$4:$N$31,MATCH($A19,$A$10:$A$37,0),MATCH(D$9,$B$9:$N$9,0)))</f>
        <v>1.8</v>
      </c>
      <c r="E19" s="10">
        <f>2*(-1*INDEX('Desconto Processos'!$B$5:$G$32,MATCH(180-$A19,'Desconto Processos'!$A$5:$A$32,0),MATCH(E$9,'Desconto Processos'!$B$3:$G$3,0))+INDEX('Acrescimo Tangente'!$B$4:$N$31,MATCH($A19,$A$10:$A$37,0),MATCH(E$9,$B$9:$N$9,0)))</f>
        <v>1.8</v>
      </c>
      <c r="F19" s="10">
        <f>2*(-1*INDEX('Desconto Processos'!$B$5:$G$32,MATCH(180-$A19,'Desconto Processos'!$A$5:$A$32,0),MATCH(F$9,'Desconto Processos'!$B$3:$G$3,0))+INDEX('Acrescimo Tangente'!$B$4:$N$31,MATCH($A19,$A$10:$A$37,0),MATCH(F$9,$B$9:$N$9,0)))</f>
        <v>1.9</v>
      </c>
      <c r="G19" s="11">
        <v>0</v>
      </c>
      <c r="H19" s="10">
        <f>2*(-1*INDEX('Desconto Processos'!$B$5:$G$32,MATCH(180-$A19,'Desconto Processos'!$A$5:$A$32,0),MATCH(H$9,'Desconto Processos'!$B$3:$G$3,0))+INDEX('Acrescimo Tangente'!$B$4:$N$31,MATCH($A19,$A$10:$A$37,0),MATCH(H$9,$B$9:$N$9,0)))</f>
        <v>1.9</v>
      </c>
      <c r="I19" s="10">
        <f>2*(-1*INDEX('Desconto Processos'!$B$5:$G$32,MATCH(180-$A19,'Desconto Processos'!$A$5:$A$32,0),MATCH(I$9,'Desconto Processos'!$B$3:$G$3,0))+INDEX('Acrescimo Tangente'!$B$4:$N$31,MATCH($A19,$A$10:$A$37,0),MATCH(I$9,$B$9:$N$9,0)))</f>
        <v>2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</row>
    <row r="20" spans="1:14" ht="15.75" x14ac:dyDescent="0.25">
      <c r="A20" s="9">
        <v>65</v>
      </c>
      <c r="B20" s="10">
        <v>1.2</v>
      </c>
      <c r="C20" s="10">
        <f>2*(-1*INDEX('Desconto Processos'!$B$5:$G$32,MATCH(180-$A20,'Desconto Processos'!$A$5:$A$32,0),MATCH(C$9,'Desconto Processos'!$B$3:$G$3,0))+INDEX('Acrescimo Tangente'!$B$4:$N$31,MATCH($A20,$A$10:$A$37,0),MATCH(C$9,$B$9:$N$9,0)))</f>
        <v>2</v>
      </c>
      <c r="D20" s="10">
        <f>2*(-1*INDEX('Desconto Processos'!$B$5:$G$32,MATCH(180-$A20,'Desconto Processos'!$A$5:$A$32,0),MATCH(D$9,'Desconto Processos'!$B$3:$G$3,0))+INDEX('Acrescimo Tangente'!$B$4:$N$31,MATCH($A20,$A$10:$A$37,0),MATCH(D$9,$B$9:$N$9,0)))</f>
        <v>2</v>
      </c>
      <c r="E20" s="10">
        <f>2*(-1*INDEX('Desconto Processos'!$B$5:$G$32,MATCH(180-$A20,'Desconto Processos'!$A$5:$A$32,0),MATCH(E$9,'Desconto Processos'!$B$3:$G$3,0))+INDEX('Acrescimo Tangente'!$B$4:$N$31,MATCH($A20,$A$10:$A$37,0),MATCH(E$9,$B$9:$N$9,0)))</f>
        <v>2.1</v>
      </c>
      <c r="F20" s="10">
        <f>2*(-1*INDEX('Desconto Processos'!$B$5:$G$32,MATCH(180-$A20,'Desconto Processos'!$A$5:$A$32,0),MATCH(F$9,'Desconto Processos'!$B$3:$G$3,0))+INDEX('Acrescimo Tangente'!$B$4:$N$31,MATCH($A20,$A$10:$A$37,0),MATCH(F$9,$B$9:$N$9,0)))</f>
        <v>2.1</v>
      </c>
      <c r="G20" s="11">
        <v>0</v>
      </c>
      <c r="H20" s="10">
        <f>2*(-1*INDEX('Desconto Processos'!$B$5:$G$32,MATCH(180-$A20,'Desconto Processos'!$A$5:$A$32,0),MATCH(H$9,'Desconto Processos'!$B$3:$G$3,0))+INDEX('Acrescimo Tangente'!$B$4:$N$31,MATCH($A20,$A$10:$A$37,0),MATCH(H$9,$B$9:$N$9,0)))</f>
        <v>2.2000000000000002</v>
      </c>
      <c r="I20" s="10">
        <f>2*(-1*INDEX('Desconto Processos'!$B$5:$G$32,MATCH(180-$A20,'Desconto Processos'!$A$5:$A$32,0),MATCH(I$9,'Desconto Processos'!$B$3:$G$3,0))+INDEX('Acrescimo Tangente'!$B$4:$N$31,MATCH($A20,$A$10:$A$37,0),MATCH(I$9,$B$9:$N$9,0)))</f>
        <v>2.2000000000000002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</row>
    <row r="21" spans="1:14" ht="15.75" x14ac:dyDescent="0.25">
      <c r="A21" s="9">
        <v>70</v>
      </c>
      <c r="B21" s="10">
        <v>1.2</v>
      </c>
      <c r="C21" s="10">
        <f>2*(-1*INDEX('Desconto Processos'!$B$5:$G$32,MATCH(180-$A21,'Desconto Processos'!$A$5:$A$32,0),MATCH(C$9,'Desconto Processos'!$B$3:$G$3,0))+INDEX('Acrescimo Tangente'!$B$4:$N$31,MATCH($A21,$A$10:$A$37,0),MATCH(C$9,$B$9:$N$9,0)))</f>
        <v>2.2000000000000002</v>
      </c>
      <c r="D21" s="10">
        <f>2*(-1*INDEX('Desconto Processos'!$B$5:$G$32,MATCH(180-$A21,'Desconto Processos'!$A$5:$A$32,0),MATCH(D$9,'Desconto Processos'!$B$3:$G$3,0))+INDEX('Acrescimo Tangente'!$B$4:$N$31,MATCH($A21,$A$10:$A$37,0),MATCH(D$9,$B$9:$N$9,0)))</f>
        <v>2.4</v>
      </c>
      <c r="E21" s="10">
        <f>2*(-1*INDEX('Desconto Processos'!$B$5:$G$32,MATCH(180-$A21,'Desconto Processos'!$A$5:$A$32,0),MATCH(E$9,'Desconto Processos'!$B$3:$G$3,0))+INDEX('Acrescimo Tangente'!$B$4:$N$31,MATCH($A21,$A$10:$A$37,0),MATCH(E$9,$B$9:$N$9,0)))</f>
        <v>2.2999999999999998</v>
      </c>
      <c r="F21" s="10">
        <f>2*(-1*INDEX('Desconto Processos'!$B$5:$G$32,MATCH(180-$A21,'Desconto Processos'!$A$5:$A$32,0),MATCH(F$9,'Desconto Processos'!$B$3:$G$3,0))+INDEX('Acrescimo Tangente'!$B$4:$N$31,MATCH($A21,$A$10:$A$37,0),MATCH(F$9,$B$9:$N$9,0)))</f>
        <v>2.4</v>
      </c>
      <c r="G21" s="11">
        <v>0</v>
      </c>
      <c r="H21" s="10">
        <f>2*(-1*INDEX('Desconto Processos'!$B$5:$G$32,MATCH(180-$A21,'Desconto Processos'!$A$5:$A$32,0),MATCH(H$9,'Desconto Processos'!$B$3:$G$3,0))+INDEX('Acrescimo Tangente'!$B$4:$N$31,MATCH($A21,$A$10:$A$37,0),MATCH(H$9,$B$9:$N$9,0)))</f>
        <v>2.5</v>
      </c>
      <c r="I21" s="10">
        <f>2*(-1*INDEX('Desconto Processos'!$B$5:$G$32,MATCH(180-$A21,'Desconto Processos'!$A$5:$A$32,0),MATCH(I$9,'Desconto Processos'!$B$3:$G$3,0))+INDEX('Acrescimo Tangente'!$B$4:$N$31,MATCH($A21,$A$10:$A$37,0),MATCH(I$9,$B$9:$N$9,0)))</f>
        <v>2.5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</row>
    <row r="22" spans="1:14" ht="15.75" x14ac:dyDescent="0.25">
      <c r="A22" s="9">
        <v>75</v>
      </c>
      <c r="B22" s="10">
        <v>1.2</v>
      </c>
      <c r="C22" s="10">
        <f>2*(-1*INDEX('Desconto Processos'!$B$5:$G$32,MATCH(180-$A22,'Desconto Processos'!$A$5:$A$32,0),MATCH(C$9,'Desconto Processos'!$B$3:$G$3,0))+INDEX('Acrescimo Tangente'!$B$4:$N$31,MATCH($A22,$A$10:$A$37,0),MATCH(C$9,$B$9:$N$9,0)))</f>
        <v>2.5</v>
      </c>
      <c r="D22" s="10">
        <f>2*(-1*INDEX('Desconto Processos'!$B$5:$G$32,MATCH(180-$A22,'Desconto Processos'!$A$5:$A$32,0),MATCH(D$9,'Desconto Processos'!$B$3:$G$3,0))+INDEX('Acrescimo Tangente'!$B$4:$N$31,MATCH($A22,$A$10:$A$37,0),MATCH(D$9,$B$9:$N$9,0)))</f>
        <v>2.6</v>
      </c>
      <c r="E22" s="10">
        <f>2*(-1*INDEX('Desconto Processos'!$B$5:$G$32,MATCH(180-$A22,'Desconto Processos'!$A$5:$A$32,0),MATCH(E$9,'Desconto Processos'!$B$3:$G$3,0))+INDEX('Acrescimo Tangente'!$B$4:$N$31,MATCH($A22,$A$10:$A$37,0),MATCH(E$9,$B$9:$N$9,0)))</f>
        <v>2.6</v>
      </c>
      <c r="F22" s="10">
        <f>2*(-1*INDEX('Desconto Processos'!$B$5:$G$32,MATCH(180-$A22,'Desconto Processos'!$A$5:$A$32,0),MATCH(F$9,'Desconto Processos'!$B$3:$G$3,0))+INDEX('Acrescimo Tangente'!$B$4:$N$31,MATCH($A22,$A$10:$A$37,0),MATCH(F$9,$B$9:$N$9,0)))</f>
        <v>2.6</v>
      </c>
      <c r="G22" s="11">
        <v>0</v>
      </c>
      <c r="H22" s="10">
        <f>2*(-1*INDEX('Desconto Processos'!$B$5:$G$32,MATCH(180-$A22,'Desconto Processos'!$A$5:$A$32,0),MATCH(H$9,'Desconto Processos'!$B$3:$G$3,0))+INDEX('Acrescimo Tangente'!$B$4:$N$31,MATCH($A22,$A$10:$A$37,0),MATCH(H$9,$B$9:$N$9,0)))</f>
        <v>2.7</v>
      </c>
      <c r="I22" s="10">
        <f>2*(-1*INDEX('Desconto Processos'!$B$5:$G$32,MATCH(180-$A22,'Desconto Processos'!$A$5:$A$32,0),MATCH(I$9,'Desconto Processos'!$B$3:$G$3,0))+INDEX('Acrescimo Tangente'!$B$4:$N$31,MATCH($A22,$A$10:$A$37,0),MATCH(I$9,$B$9:$N$9,0)))</f>
        <v>2.8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</row>
    <row r="23" spans="1:14" ht="15.75" x14ac:dyDescent="0.25">
      <c r="A23" s="9">
        <v>80</v>
      </c>
      <c r="B23" s="10">
        <v>1.2</v>
      </c>
      <c r="C23" s="10">
        <f>2*(-1*INDEX('Desconto Processos'!$B$5:$G$32,MATCH(180-$A23,'Desconto Processos'!$A$5:$A$32,0),MATCH(C$9,'Desconto Processos'!$B$3:$G$3,0))+INDEX('Acrescimo Tangente'!$B$4:$N$31,MATCH($A23,$A$10:$A$37,0),MATCH(C$9,$B$9:$N$9,0)))</f>
        <v>2.7</v>
      </c>
      <c r="D23" s="10">
        <f>2*(-1*INDEX('Desconto Processos'!$B$5:$G$32,MATCH(180-$A23,'Desconto Processos'!$A$5:$A$32,0),MATCH(D$9,'Desconto Processos'!$B$3:$G$3,0))+INDEX('Acrescimo Tangente'!$B$4:$N$31,MATCH($A23,$A$10:$A$37,0),MATCH(D$9,$B$9:$N$9,0)))</f>
        <v>2.9</v>
      </c>
      <c r="E23" s="10">
        <f>2*(-1*INDEX('Desconto Processos'!$B$5:$G$32,MATCH(180-$A23,'Desconto Processos'!$A$5:$A$32,0),MATCH(E$9,'Desconto Processos'!$B$3:$G$3,0))+INDEX('Acrescimo Tangente'!$B$4:$N$31,MATCH($A23,$A$10:$A$37,0),MATCH(E$9,$B$9:$N$9,0)))</f>
        <v>3</v>
      </c>
      <c r="F23" s="10">
        <f>2*(-1*INDEX('Desconto Processos'!$B$5:$G$32,MATCH(180-$A23,'Desconto Processos'!$A$5:$A$32,0),MATCH(F$9,'Desconto Processos'!$B$3:$G$3,0))+INDEX('Acrescimo Tangente'!$B$4:$N$31,MATCH($A23,$A$10:$A$37,0),MATCH(F$9,$B$9:$N$9,0)))</f>
        <v>3.1</v>
      </c>
      <c r="G23" s="11">
        <v>0</v>
      </c>
      <c r="H23" s="10">
        <f>2*(-1*INDEX('Desconto Processos'!$B$5:$G$32,MATCH(180-$A23,'Desconto Processos'!$A$5:$A$32,0),MATCH(H$9,'Desconto Processos'!$B$3:$G$3,0))+INDEX('Acrescimo Tangente'!$B$4:$N$31,MATCH($A23,$A$10:$A$37,0),MATCH(H$9,$B$9:$N$9,0)))</f>
        <v>3</v>
      </c>
      <c r="I23" s="10">
        <f>2*(-1*INDEX('Desconto Processos'!$B$5:$G$32,MATCH(180-$A23,'Desconto Processos'!$A$5:$A$32,0),MATCH(I$9,'Desconto Processos'!$B$3:$G$3,0))+INDEX('Acrescimo Tangente'!$B$4:$N$31,MATCH($A23,$A$10:$A$37,0),MATCH(I$9,$B$9:$N$9,0)))</f>
        <v>3.1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</row>
    <row r="24" spans="1:14" ht="15.75" x14ac:dyDescent="0.25">
      <c r="A24" s="9">
        <v>85</v>
      </c>
      <c r="B24" s="10">
        <v>1.2</v>
      </c>
      <c r="C24" s="10">
        <f>2*(-1*INDEX('Desconto Processos'!$B$5:$G$32,MATCH(180-$A24,'Desconto Processos'!$A$5:$A$32,0),MATCH(C$9,'Desconto Processos'!$B$3:$G$3,0))+INDEX('Acrescimo Tangente'!$B$4:$N$31,MATCH($A24,$A$10:$A$37,0),MATCH(C$9,$B$9:$N$9,0)))</f>
        <v>3.1</v>
      </c>
      <c r="D24" s="10">
        <f>2*(-1*INDEX('Desconto Processos'!$B$5:$G$32,MATCH(180-$A24,'Desconto Processos'!$A$5:$A$32,0),MATCH(D$9,'Desconto Processos'!$B$3:$G$3,0))+INDEX('Acrescimo Tangente'!$B$4:$N$31,MATCH($A24,$A$10:$A$37,0),MATCH(D$9,$B$9:$N$9,0)))</f>
        <v>3.2</v>
      </c>
      <c r="E24" s="10">
        <f>2*(-1*INDEX('Desconto Processos'!$B$5:$G$32,MATCH(180-$A24,'Desconto Processos'!$A$5:$A$32,0),MATCH(E$9,'Desconto Processos'!$B$3:$G$3,0))+INDEX('Acrescimo Tangente'!$B$4:$N$31,MATCH($A24,$A$10:$A$37,0),MATCH(E$9,$B$9:$N$9,0)))</f>
        <v>3.3</v>
      </c>
      <c r="F24" s="10">
        <f>2*(-1*INDEX('Desconto Processos'!$B$5:$G$32,MATCH(180-$A24,'Desconto Processos'!$A$5:$A$32,0),MATCH(F$9,'Desconto Processos'!$B$3:$G$3,0))+INDEX('Acrescimo Tangente'!$B$4:$N$31,MATCH($A24,$A$10:$A$37,0),MATCH(F$9,$B$9:$N$9,0)))</f>
        <v>3.4</v>
      </c>
      <c r="G24" s="11">
        <v>0</v>
      </c>
      <c r="H24" s="10">
        <f>2*(-1*INDEX('Desconto Processos'!$B$5:$G$32,MATCH(180-$A24,'Desconto Processos'!$A$5:$A$32,0),MATCH(H$9,'Desconto Processos'!$B$3:$G$3,0))+INDEX('Acrescimo Tangente'!$B$4:$N$31,MATCH($A24,$A$10:$A$37,0),MATCH(H$9,$B$9:$N$9,0)))</f>
        <v>3.5</v>
      </c>
      <c r="I24" s="10">
        <f>2*(-1*INDEX('Desconto Processos'!$B$5:$G$32,MATCH(180-$A24,'Desconto Processos'!$A$5:$A$32,0),MATCH(I$9,'Desconto Processos'!$B$3:$G$3,0))+INDEX('Acrescimo Tangente'!$B$4:$N$31,MATCH($A24,$A$10:$A$37,0),MATCH(I$9,$B$9:$N$9,0)))</f>
        <v>3.4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</row>
    <row r="25" spans="1:14" ht="15.75" x14ac:dyDescent="0.25">
      <c r="A25" s="19">
        <v>90</v>
      </c>
      <c r="B25" s="21">
        <v>1.2</v>
      </c>
      <c r="C25" s="21">
        <f>2*(-1*INDEX('Desconto Processos'!$B$5:$G$32,MATCH(180-$A25,'Desconto Processos'!$A$5:$A$32,0),MATCH(C$9,'Desconto Processos'!$B$3:$G$3,0))+INDEX('Acrescimo Tangente'!$B$4:$N$31,MATCH($A25,$A$10:$A$37,0),MATCH(C$9,$B$9:$N$9,0)))</f>
        <v>3.4</v>
      </c>
      <c r="D25" s="21">
        <f>2*(-1*INDEX('Desconto Processos'!$B$5:$G$32,MATCH(180-$A25,'Desconto Processos'!$A$5:$A$32,0),MATCH(D$9,'Desconto Processos'!$B$3:$G$3,0))+INDEX('Acrescimo Tangente'!$B$4:$N$31,MATCH($A25,$A$10:$A$37,0),MATCH(D$9,$B$9:$N$9,0)))</f>
        <v>3.5</v>
      </c>
      <c r="E25" s="21">
        <f>2*(-1*INDEX('Desconto Processos'!$B$5:$G$32,MATCH(180-$A25,'Desconto Processos'!$A$5:$A$32,0),MATCH(E$9,'Desconto Processos'!$B$3:$G$3,0))+INDEX('Acrescimo Tangente'!$B$4:$N$31,MATCH($A25,$A$10:$A$37,0),MATCH(E$9,$B$9:$N$9,0)))</f>
        <v>3.5</v>
      </c>
      <c r="F25" s="21">
        <f>2*(-1*INDEX('Desconto Processos'!$B$5:$G$32,MATCH(180-$A25,'Desconto Processos'!$A$5:$A$32,0),MATCH(F$9,'Desconto Processos'!$B$3:$G$3,0))+INDEX('Acrescimo Tangente'!$B$4:$N$31,MATCH($A25,$A$10:$A$37,0),MATCH(F$9,$B$9:$N$9,0)))</f>
        <v>3.6</v>
      </c>
      <c r="G25" s="20">
        <v>0</v>
      </c>
      <c r="H25" s="21">
        <f>2*(-1*INDEX('Desconto Processos'!$B$5:$G$32,MATCH(180-$A25,'Desconto Processos'!$A$5:$A$32,0),MATCH(H$9,'Desconto Processos'!$B$3:$G$3,0))+INDEX('Acrescimo Tangente'!$B$4:$N$31,MATCH($A25,$A$10:$A$37,0),MATCH(H$9,$B$9:$N$9,0)))</f>
        <v>3.7</v>
      </c>
      <c r="I25" s="21">
        <f>2*(-1*INDEX('Desconto Processos'!$B$5:$G$32,MATCH(180-$A25,'Desconto Processos'!$A$5:$A$32,0),MATCH(I$9,'Desconto Processos'!$B$3:$G$3,0))+INDEX('Acrescimo Tangente'!$B$4:$N$31,MATCH($A25,$A$10:$A$37,0),MATCH(I$9,$B$9:$N$9,0)))</f>
        <v>3.8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</row>
    <row r="26" spans="1:14" ht="15.75" x14ac:dyDescent="0.25">
      <c r="A26" s="9">
        <v>95</v>
      </c>
      <c r="B26" s="12">
        <v>1.2</v>
      </c>
      <c r="C26" s="12">
        <f>2*(-1*INDEX('Desconto Processos'!$B$5:$G$32,MATCH(180-$A26,'Desconto Processos'!$A$5:$A$32,0),MATCH(C$9,'Desconto Processos'!$B$3:$G$3,0))+INDEX('Acrescimo Tangente'!$B$4:$N$31,MATCH($A26,$A$10:$A$37,0),MATCH(C$9,$B$9:$N$9,0)))</f>
        <v>3.9026361070571913</v>
      </c>
      <c r="D26" s="12">
        <f>2*(-1*INDEX('Desconto Processos'!$B$5:$G$32,MATCH(180-$A26,'Desconto Processos'!$A$5:$A$32,0),MATCH(D$9,'Desconto Processos'!$B$3:$G$3,0))+INDEX('Acrescimo Tangente'!$B$4:$N$31,MATCH($A26,$A$10:$A$37,0),MATCH(D$9,$B$9:$N$9,0)))</f>
        <v>3.9208978072710456</v>
      </c>
      <c r="E26" s="12">
        <f>2*(-1*INDEX('Desconto Processos'!$B$5:$G$32,MATCH(180-$A26,'Desconto Processos'!$A$5:$A$32,0),MATCH(E$9,'Desconto Processos'!$B$3:$G$3,0))+INDEX('Acrescimo Tangente'!$B$4:$N$31,MATCH($A26,$A$10:$A$37,0),MATCH(E$9,$B$9:$N$9,0)))</f>
        <v>4.0391595074849</v>
      </c>
      <c r="F26" s="12">
        <f>2*(-1*INDEX('Desconto Processos'!$B$5:$G$32,MATCH(180-$A26,'Desconto Processos'!$A$5:$A$32,0),MATCH(F$9,'Desconto Processos'!$B$3:$G$3,0))+INDEX('Acrescimo Tangente'!$B$4:$N$31,MATCH($A26,$A$10:$A$37,0),MATCH(F$9,$B$9:$N$9,0)))</f>
        <v>4.0574212076987539</v>
      </c>
      <c r="G26" s="11">
        <v>0</v>
      </c>
      <c r="H26" s="12">
        <f>2*(-1*INDEX('Desconto Processos'!$B$5:$G$32,MATCH(180-$A26,'Desconto Processos'!$A$5:$A$32,0),MATCH(H$9,'Desconto Processos'!$B$3:$G$3,0))+INDEX('Acrescimo Tangente'!$B$4:$N$31,MATCH($A26,$A$10:$A$37,0),MATCH(H$9,$B$9:$N$9,0)))</f>
        <v>4.2487297087680256</v>
      </c>
      <c r="I26" s="12">
        <f>2*(-1*INDEX('Desconto Processos'!$B$5:$G$32,MATCH(180-$A26,'Desconto Processos'!$A$5:$A$32,0),MATCH(I$9,'Desconto Processos'!$B$3:$G$3,0))+INDEX('Acrescimo Tangente'!$B$4:$N$31,MATCH($A26,$A$10:$A$37,0),MATCH(I$9,$B$9:$N$9,0)))</f>
        <v>4.4217765096234425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</row>
    <row r="27" spans="1:14" ht="15.75" x14ac:dyDescent="0.25">
      <c r="A27" s="9">
        <v>100</v>
      </c>
      <c r="B27" s="12">
        <v>1.2</v>
      </c>
      <c r="C27" s="12">
        <f>2*(-1*INDEX('Desconto Processos'!$B$5:$G$32,MATCH(180-$A27,'Desconto Processos'!$A$5:$A$32,0),MATCH(C$9,'Desconto Processos'!$B$3:$G$3,0))+INDEX('Acrescimo Tangente'!$B$4:$N$31,MATCH($A27,$A$10:$A$37,0),MATCH(C$9,$B$9:$N$9,0)))</f>
        <v>4.4655737111217864</v>
      </c>
      <c r="D27" s="12">
        <f>2*(-1*INDEX('Desconto Processos'!$B$5:$G$32,MATCH(180-$A27,'Desconto Processos'!$A$5:$A$32,0),MATCH(D$9,'Desconto Processos'!$B$3:$G$3,0))+INDEX('Acrescimo Tangente'!$B$4:$N$31,MATCH($A27,$A$10:$A$37,0),MATCH(D$9,$B$9:$N$9,0)))</f>
        <v>4.4039244296406288</v>
      </c>
      <c r="E27" s="12">
        <f>2*(-1*INDEX('Desconto Processos'!$B$5:$G$32,MATCH(180-$A27,'Desconto Processos'!$A$5:$A$32,0),MATCH(E$9,'Desconto Processos'!$B$3:$G$3,0))+INDEX('Acrescimo Tangente'!$B$4:$N$31,MATCH($A27,$A$10:$A$37,0),MATCH(E$9,$B$9:$N$9,0)))</f>
        <v>4.6422751481594702</v>
      </c>
      <c r="F27" s="12">
        <f>2*(-1*INDEX('Desconto Processos'!$B$5:$G$32,MATCH(180-$A27,'Desconto Processos'!$A$5:$A$32,0),MATCH(F$9,'Desconto Processos'!$B$3:$G$3,0))+INDEX('Acrescimo Tangente'!$B$4:$N$31,MATCH($A27,$A$10:$A$37,0),MATCH(F$9,$B$9:$N$9,0)))</f>
        <v>4.6806258666783123</v>
      </c>
      <c r="G27" s="11">
        <v>0</v>
      </c>
      <c r="H27" s="12">
        <f>2*(-1*INDEX('Desconto Processos'!$B$5:$G$32,MATCH(180-$A27,'Desconto Processos'!$A$5:$A$32,0),MATCH(H$9,'Desconto Processos'!$B$3:$G$3,0))+INDEX('Acrescimo Tangente'!$B$4:$N$31,MATCH($A27,$A$10:$A$37,0),MATCH(H$9,$B$9:$N$9,0)))</f>
        <v>4.9723794592725223</v>
      </c>
      <c r="I27" s="12">
        <f>2*(-1*INDEX('Desconto Processos'!$B$5:$G$32,MATCH(180-$A27,'Desconto Processos'!$A$5:$A$32,0),MATCH(I$9,'Desconto Processos'!$B$3:$G$3,0))+INDEX('Acrescimo Tangente'!$B$4:$N$31,MATCH($A27,$A$10:$A$37,0),MATCH(I$9,$B$9:$N$9,0)))</f>
        <v>5.1257823333478907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</row>
    <row r="28" spans="1:14" ht="15.75" x14ac:dyDescent="0.25">
      <c r="A28" s="9">
        <v>105</v>
      </c>
      <c r="B28" s="12">
        <v>1.2</v>
      </c>
      <c r="C28" s="12">
        <f>2*(-1*INDEX('Desconto Processos'!$B$5:$G$32,MATCH(180-$A28,'Desconto Processos'!$A$5:$A$32,0),MATCH(C$9,'Desconto Processos'!$B$3:$G$3,0))+INDEX('Acrescimo Tangente'!$B$4:$N$31,MATCH($A28,$A$10:$A$37,0),MATCH(C$9,$B$9:$N$9,0)))</f>
        <v>5.1012874607519576</v>
      </c>
      <c r="D28" s="12">
        <f>2*(-1*INDEX('Desconto Processos'!$B$5:$G$32,MATCH(180-$A28,'Desconto Processos'!$A$5:$A$32,0),MATCH(D$9,'Desconto Processos'!$B$3:$G$3,0))+INDEX('Acrescimo Tangente'!$B$4:$N$31,MATCH($A28,$A$10:$A$37,0),MATCH(D$9,$B$9:$N$9,0)))</f>
        <v>5.0619325353201994</v>
      </c>
      <c r="E28" s="12">
        <f>2*(-1*INDEX('Desconto Processos'!$B$5:$G$32,MATCH(180-$A28,'Desconto Processos'!$A$5:$A$32,0),MATCH(E$9,'Desconto Processos'!$B$3:$G$3,0))+INDEX('Acrescimo Tangente'!$B$4:$N$31,MATCH($A28,$A$10:$A$37,0),MATCH(E$9,$B$9:$N$9,0)))</f>
        <v>5.3225776098884401</v>
      </c>
      <c r="F28" s="12">
        <f>2*(-1*INDEX('Desconto Processos'!$B$5:$G$32,MATCH(180-$A28,'Desconto Processos'!$A$5:$A$32,0),MATCH(F$9,'Desconto Processos'!$B$3:$G$3,0))+INDEX('Acrescimo Tangente'!$B$4:$N$31,MATCH($A28,$A$10:$A$37,0),MATCH(F$9,$B$9:$N$9,0)))</f>
        <v>5.3832226844566815</v>
      </c>
      <c r="G28" s="11">
        <v>0</v>
      </c>
      <c r="H28" s="12">
        <f>2*(-1*INDEX('Desconto Processos'!$B$5:$G$32,MATCH(180-$A28,'Desconto Processos'!$A$5:$A$32,0),MATCH(H$9,'Desconto Processos'!$B$3:$G$3,0))+INDEX('Acrescimo Tangente'!$B$4:$N$31,MATCH($A28,$A$10:$A$37,0),MATCH(H$9,$B$9:$N$9,0)))</f>
        <v>5.6864480572978868</v>
      </c>
      <c r="I28" s="12">
        <f>2*(-1*INDEX('Desconto Processos'!$B$5:$G$32,MATCH(180-$A28,'Desconto Processos'!$A$5:$A$32,0),MATCH(I$9,'Desconto Processos'!$B$3:$G$3,0))+INDEX('Acrescimo Tangente'!$B$4:$N$31,MATCH($A28,$A$10:$A$37,0),MATCH(I$9,$B$9:$N$9,0)))</f>
        <v>5.9290283555708516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</row>
    <row r="29" spans="1:14" ht="15.75" x14ac:dyDescent="0.25">
      <c r="A29" s="9">
        <v>110</v>
      </c>
      <c r="B29" s="12">
        <v>1.2</v>
      </c>
      <c r="C29" s="12">
        <f>2*(-1*INDEX('Desconto Processos'!$B$5:$G$32,MATCH(180-$A29,'Desconto Processos'!$A$5:$A$32,0),MATCH(C$9,'Desconto Processos'!$B$3:$G$3,0))+INDEX('Acrescimo Tangente'!$B$4:$N$31,MATCH($A29,$A$10:$A$37,0),MATCH(C$9,$B$9:$N$9,0)))</f>
        <v>5.8257768444979572</v>
      </c>
      <c r="D29" s="12">
        <f>2*(-1*INDEX('Desconto Processos'!$B$5:$G$32,MATCH(180-$A29,'Desconto Processos'!$A$5:$A$32,0),MATCH(D$9,'Desconto Processos'!$B$3:$G$3,0))+INDEX('Acrescimo Tangente'!$B$4:$N$31,MATCH($A29,$A$10:$A$37,0),MATCH(D$9,$B$9:$N$9,0)))</f>
        <v>5.8114064458463801</v>
      </c>
      <c r="E29" s="12">
        <f>2*(-1*INDEX('Desconto Processos'!$B$5:$G$32,MATCH(180-$A29,'Desconto Processos'!$A$5:$A$32,0),MATCH(E$9,'Desconto Processos'!$B$3:$G$3,0))+INDEX('Acrescimo Tangente'!$B$4:$N$31,MATCH($A29,$A$10:$A$37,0),MATCH(E$9,$B$9:$N$9,0)))</f>
        <v>6.097036047194802</v>
      </c>
      <c r="F29" s="12">
        <f>2*(-1*INDEX('Desconto Processos'!$B$5:$G$32,MATCH(180-$A29,'Desconto Processos'!$A$5:$A$32,0),MATCH(F$9,'Desconto Processos'!$B$3:$G$3,0))+INDEX('Acrescimo Tangente'!$B$4:$N$31,MATCH($A29,$A$10:$A$37,0),MATCH(F$9,$B$9:$N$9,0)))</f>
        <v>6.1826656485432254</v>
      </c>
      <c r="G29" s="11">
        <v>0</v>
      </c>
      <c r="H29" s="12">
        <f>2*(-1*INDEX('Desconto Processos'!$B$5:$G$32,MATCH(180-$A29,'Desconto Processos'!$A$5:$A$32,0),MATCH(H$9,'Desconto Processos'!$B$3:$G$3,0))+INDEX('Acrescimo Tangente'!$B$4:$N$31,MATCH($A29,$A$10:$A$37,0),MATCH(H$9,$B$9:$N$9,0)))</f>
        <v>6.5108136552853395</v>
      </c>
      <c r="I29" s="12">
        <f>2*(-1*INDEX('Desconto Processos'!$B$5:$G$32,MATCH(180-$A29,'Desconto Processos'!$A$5:$A$32,0),MATCH(I$9,'Desconto Processos'!$B$3:$G$3,0))+INDEX('Acrescimo Tangente'!$B$4:$N$31,MATCH($A29,$A$10:$A$37,0),MATCH(I$9,$B$9:$N$9,0)))</f>
        <v>6.7533320606790319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</row>
    <row r="30" spans="1:14" ht="15.75" x14ac:dyDescent="0.25">
      <c r="A30" s="9">
        <v>115</v>
      </c>
      <c r="B30" s="12">
        <v>1.2</v>
      </c>
      <c r="C30" s="12">
        <f>2*(-1*INDEX('Desconto Processos'!$B$5:$G$32,MATCH(180-$A30,'Desconto Processos'!$A$5:$A$32,0),MATCH(C$9,'Desconto Processos'!$B$3:$G$3,0))+INDEX('Acrescimo Tangente'!$B$4:$N$31,MATCH($A30,$A$10:$A$37,0),MATCH(C$9,$B$9:$N$9,0)))</f>
        <v>6.5599248089754356</v>
      </c>
      <c r="D30" s="12">
        <f>2*(-1*INDEX('Desconto Processos'!$B$5:$G$32,MATCH(180-$A30,'Desconto Processos'!$A$5:$A$32,0),MATCH(D$9,'Desconto Processos'!$B$3:$G$3,0))+INDEX('Acrescimo Tangente'!$B$4:$N$31,MATCH($A30,$A$10:$A$37,0),MATCH(D$9,$B$9:$N$9,0)))</f>
        <v>6.6738619243989339</v>
      </c>
      <c r="E30" s="12">
        <f>2*(-1*INDEX('Desconto Processos'!$B$5:$G$32,MATCH(180-$A30,'Desconto Processos'!$A$5:$A$32,0),MATCH(E$9,'Desconto Processos'!$B$3:$G$3,0))+INDEX('Acrescimo Tangente'!$B$4:$N$31,MATCH($A30,$A$10:$A$37,0),MATCH(E$9,$B$9:$N$9,0)))</f>
        <v>6.8877990398224327</v>
      </c>
      <c r="F30" s="12">
        <f>2*(-1*INDEX('Desconto Processos'!$B$5:$G$32,MATCH(180-$A30,'Desconto Processos'!$A$5:$A$32,0),MATCH(F$9,'Desconto Processos'!$B$3:$G$3,0))+INDEX('Acrescimo Tangente'!$B$4:$N$31,MATCH($A30,$A$10:$A$37,0),MATCH(F$9,$B$9:$N$9,0)))</f>
        <v>6.9017361552459304</v>
      </c>
      <c r="G30" s="11">
        <v>0</v>
      </c>
      <c r="H30" s="12">
        <f>2*(-1*INDEX('Desconto Processos'!$B$5:$G$32,MATCH(180-$A30,'Desconto Processos'!$A$5:$A$32,0),MATCH(H$9,'Desconto Processos'!$B$3:$G$3,0))+INDEX('Acrescimo Tangente'!$B$4:$N$31,MATCH($A30,$A$10:$A$37,0),MATCH(H$9,$B$9:$N$9,0)))</f>
        <v>7.3714217323634204</v>
      </c>
      <c r="I30" s="12">
        <f>2*(-1*INDEX('Desconto Processos'!$B$5:$G$32,MATCH(180-$A30,'Desconto Processos'!$A$5:$A$32,0),MATCH(I$9,'Desconto Processos'!$B$3:$G$3,0))+INDEX('Acrescimo Tangente'!$B$4:$N$31,MATCH($A30,$A$10:$A$37,0),MATCH(I$9,$B$9:$N$9,0)))</f>
        <v>7.7271701940574129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</row>
    <row r="31" spans="1:14" ht="15.75" x14ac:dyDescent="0.25">
      <c r="A31" s="9">
        <v>120</v>
      </c>
      <c r="B31" s="12">
        <v>1.2</v>
      </c>
      <c r="C31" s="12">
        <f>2*(-1*INDEX('Desconto Processos'!$B$5:$G$32,MATCH(180-$A31,'Desconto Processos'!$A$5:$A$32,0),MATCH(C$9,'Desconto Processos'!$B$3:$G$3,0))+INDEX('Acrescimo Tangente'!$B$4:$N$31,MATCH($A31,$A$10:$A$37,0),MATCH(C$9,$B$9:$N$9,0)))</f>
        <v>7.4315353299545901</v>
      </c>
      <c r="D31" s="12">
        <f>2*(-1*INDEX('Desconto Processos'!$B$5:$G$32,MATCH(180-$A31,'Desconto Processos'!$A$5:$A$32,0),MATCH(D$9,'Desconto Processos'!$B$3:$G$3,0))+INDEX('Acrescimo Tangente'!$B$4:$N$31,MATCH($A31,$A$10:$A$37,0),MATCH(D$9,$B$9:$N$9,0)))</f>
        <v>7.6779454914683667</v>
      </c>
      <c r="E31" s="12">
        <f>2*(-1*INDEX('Desconto Processos'!$B$5:$G$32,MATCH(180-$A31,'Desconto Processos'!$A$5:$A$32,0),MATCH(E$9,'Desconto Processos'!$B$3:$G$3,0))+INDEX('Acrescimo Tangente'!$B$4:$N$31,MATCH($A31,$A$10:$A$37,0),MATCH(E$9,$B$9:$N$9,0)))</f>
        <v>7.8243556529821419</v>
      </c>
      <c r="F31" s="12">
        <f>2*(-1*INDEX('Desconto Processos'!$B$5:$G$32,MATCH(180-$A31,'Desconto Processos'!$A$5:$A$32,0),MATCH(F$9,'Desconto Processos'!$B$3:$G$3,0))+INDEX('Acrescimo Tangente'!$B$4:$N$31,MATCH($A31,$A$10:$A$37,0),MATCH(F$9,$B$9:$N$9,0)))</f>
        <v>7.8707658144959165</v>
      </c>
      <c r="G31" s="11">
        <v>0</v>
      </c>
      <c r="H31" s="12">
        <f>2*(-1*INDEX('Desconto Processos'!$B$5:$G$32,MATCH(180-$A31,'Desconto Processos'!$A$5:$A$32,0),MATCH(H$9,'Desconto Processos'!$B$3:$G$3,0))+INDEX('Acrescimo Tangente'!$B$4:$N$31,MATCH($A31,$A$10:$A$37,0),MATCH(H$9,$B$9:$N$9,0)))</f>
        <v>8.402816622064794</v>
      </c>
      <c r="I31" s="12">
        <f>2*(-1*INDEX('Desconto Processos'!$B$5:$G$32,MATCH(180-$A31,'Desconto Processos'!$A$5:$A$32,0),MATCH(I$9,'Desconto Processos'!$B$3:$G$3,0))+INDEX('Acrescimo Tangente'!$B$4:$N$31,MATCH($A31,$A$10:$A$37,0),MATCH(I$9,$B$9:$N$9,0)))</f>
        <v>8.9884572681198964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</row>
    <row r="32" spans="1:14" ht="15.75" x14ac:dyDescent="0.25">
      <c r="A32" s="9">
        <v>125</v>
      </c>
      <c r="B32" s="12">
        <v>1.2</v>
      </c>
      <c r="C32" s="12">
        <f>2*(-1*INDEX('Desconto Processos'!$B$5:$G$32,MATCH(180-$A32,'Desconto Processos'!$A$5:$A$32,0),MATCH(C$9,'Desconto Processos'!$B$3:$G$3,0))+INDEX('Acrescimo Tangente'!$B$4:$N$31,MATCH($A32,$A$10:$A$37,0),MATCH(C$9,$B$9:$N$9,0)))</f>
        <v>8.578482038009696</v>
      </c>
      <c r="D32" s="12">
        <f>2*(-1*INDEX('Desconto Processos'!$B$5:$G$32,MATCH(180-$A32,'Desconto Processos'!$A$5:$A$32,0),MATCH(D$9,'Desconto Processos'!$B$3:$G$3,0))+INDEX('Acrescimo Tangente'!$B$4:$N$31,MATCH($A32,$A$10:$A$37,0),MATCH(D$9,$B$9:$N$9,0)))</f>
        <v>8.7626784634039296</v>
      </c>
      <c r="E32" s="12">
        <f>2*(-1*INDEX('Desconto Processos'!$B$5:$G$32,MATCH(180-$A32,'Desconto Processos'!$A$5:$A$32,0),MATCH(E$9,'Desconto Processos'!$B$3:$G$3,0))+INDEX('Acrescimo Tangente'!$B$4:$N$31,MATCH($A32,$A$10:$A$37,0),MATCH(E$9,$B$9:$N$9,0)))</f>
        <v>9.0468748887981629</v>
      </c>
      <c r="F32" s="12">
        <f>2*(-1*INDEX('Desconto Processos'!$B$5:$G$32,MATCH(180-$A32,'Desconto Processos'!$A$5:$A$32,0),MATCH(F$9,'Desconto Processos'!$B$3:$G$3,0))+INDEX('Acrescimo Tangente'!$B$4:$N$31,MATCH($A32,$A$10:$A$37,0),MATCH(F$9,$B$9:$N$9,0)))</f>
        <v>9.0310713141923955</v>
      </c>
      <c r="G32" s="11">
        <v>0</v>
      </c>
      <c r="H32" s="12">
        <f>2*(-1*INDEX('Desconto Processos'!$B$5:$G$32,MATCH(180-$A32,'Desconto Processos'!$A$5:$A$32,0),MATCH(H$9,'Desconto Processos'!$B$3:$G$3,0))+INDEX('Acrescimo Tangente'!$B$4:$N$31,MATCH($A32,$A$10:$A$37,0),MATCH(H$9,$B$9:$N$9,0)))</f>
        <v>9.6520534411635612</v>
      </c>
      <c r="I32" s="12">
        <f>2*(-1*INDEX('Desconto Processos'!$B$5:$G$32,MATCH(180-$A32,'Desconto Processos'!$A$5:$A$32,0),MATCH(I$9,'Desconto Processos'!$B$3:$G$3,0))+INDEX('Acrescimo Tangente'!$B$4:$N$31,MATCH($A32,$A$10:$A$37,0),MATCH(I$9,$B$9:$N$9,0)))</f>
        <v>10.288839142740494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</row>
    <row r="33" spans="1:14" ht="15.75" x14ac:dyDescent="0.25">
      <c r="A33" s="9">
        <v>130</v>
      </c>
      <c r="B33" s="12">
        <v>1.2</v>
      </c>
      <c r="C33" s="12">
        <f>2*(-1*INDEX('Desconto Processos'!$B$5:$G$32,MATCH(180-$A33,'Desconto Processos'!$A$5:$A$32,0),MATCH(C$9,'Desconto Processos'!$B$3:$G$3,0))+INDEX('Acrescimo Tangente'!$B$4:$N$31,MATCH($A33,$A$10:$A$37,0),MATCH(C$9,$B$9:$N$9,0)))</f>
        <v>9.9537456753630877</v>
      </c>
      <c r="D33" s="12">
        <f>2*(-1*INDEX('Desconto Processos'!$B$5:$G$32,MATCH(180-$A33,'Desconto Processos'!$A$5:$A$32,0),MATCH(D$9,'Desconto Processos'!$B$3:$G$3,0))+INDEX('Acrescimo Tangente'!$B$4:$N$31,MATCH($A33,$A$10:$A$37,0),MATCH(D$9,$B$9:$N$9,0)))</f>
        <v>10.082647059465</v>
      </c>
      <c r="E33" s="12">
        <f>2*(-1*INDEX('Desconto Processos'!$B$5:$G$32,MATCH(180-$A33,'Desconto Processos'!$A$5:$A$32,0),MATCH(E$9,'Desconto Processos'!$B$3:$G$3,0))+INDEX('Acrescimo Tangente'!$B$4:$N$31,MATCH($A33,$A$10:$A$37,0),MATCH(E$9,$B$9:$N$9,0)))</f>
        <v>10.411548443566911</v>
      </c>
      <c r="F33" s="12">
        <f>2*(-1*INDEX('Desconto Processos'!$B$5:$G$32,MATCH(180-$A33,'Desconto Processos'!$A$5:$A$32,0),MATCH(F$9,'Desconto Processos'!$B$3:$G$3,0))+INDEX('Acrescimo Tangente'!$B$4:$N$31,MATCH($A33,$A$10:$A$37,0),MATCH(F$9,$B$9:$N$9,0)))</f>
        <v>10.440449827668825</v>
      </c>
      <c r="G33" s="11">
        <v>0</v>
      </c>
      <c r="H33" s="12">
        <f>2*(-1*INDEX('Desconto Processos'!$B$5:$G$32,MATCH(180-$A33,'Desconto Processos'!$A$5:$A$32,0),MATCH(H$9,'Desconto Processos'!$B$3:$G$3,0))+INDEX('Acrescimo Tangente'!$B$4:$N$31,MATCH($A33,$A$10:$A$37,0),MATCH(H$9,$B$9:$N$9,0)))</f>
        <v>11.284956748178381</v>
      </c>
      <c r="I33" s="12">
        <f>2*(-1*INDEX('Desconto Processos'!$B$5:$G$32,MATCH(180-$A33,'Desconto Processos'!$A$5:$A$32,0),MATCH(I$9,'Desconto Processos'!$B$3:$G$3,0))+INDEX('Acrescimo Tangente'!$B$4:$N$31,MATCH($A33,$A$10:$A$37,0),MATCH(I$9,$B$9:$N$9,0)))</f>
        <v>12.000562284586028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</row>
    <row r="34" spans="1:14" ht="15.75" x14ac:dyDescent="0.25">
      <c r="A34" s="9">
        <v>135</v>
      </c>
      <c r="B34" s="12">
        <v>1.2</v>
      </c>
      <c r="C34" s="12">
        <f>2*(-1*INDEX('Desconto Processos'!$B$5:$G$32,MATCH(180-$A34,'Desconto Processos'!$A$5:$A$32,0),MATCH(C$9,'Desconto Processos'!$B$3:$G$3,0))+INDEX('Acrescimo Tangente'!$B$4:$N$31,MATCH($A34,$A$10:$A$37,0),MATCH(C$9,$B$9:$N$9,0)))</f>
        <v>11.533809511662426</v>
      </c>
      <c r="D34" s="12">
        <f>2*(-1*INDEX('Desconto Processos'!$B$5:$G$32,MATCH(180-$A34,'Desconto Processos'!$A$5:$A$32,0),MATCH(D$9,'Desconto Processos'!$B$3:$G$3,0))+INDEX('Acrescimo Tangente'!$B$4:$N$31,MATCH($A34,$A$10:$A$37,0),MATCH(D$9,$B$9:$N$9,0)))</f>
        <v>11.816652224137048</v>
      </c>
      <c r="E34" s="12">
        <f>2*(-1*INDEX('Desconto Processos'!$B$5:$G$32,MATCH(180-$A34,'Desconto Processos'!$A$5:$A$32,0),MATCH(E$9,'Desconto Processos'!$B$3:$G$3,0))+INDEX('Acrescimo Tangente'!$B$4:$N$31,MATCH($A34,$A$10:$A$37,0),MATCH(E$9,$B$9:$N$9,0)))</f>
        <v>12.199494936611664</v>
      </c>
      <c r="F34" s="12">
        <f>2*(-1*INDEX('Desconto Processos'!$B$5:$G$32,MATCH(180-$A34,'Desconto Processos'!$A$5:$A$32,0),MATCH(F$9,'Desconto Processos'!$B$3:$G$3,0))+INDEX('Acrescimo Tangente'!$B$4:$N$31,MATCH($A34,$A$10:$A$37,0),MATCH(F$9,$B$9:$N$9,0)))</f>
        <v>12.182337649086286</v>
      </c>
      <c r="G34" s="11">
        <v>0</v>
      </c>
      <c r="H34" s="12">
        <f>2*(-1*INDEX('Desconto Processos'!$B$5:$G$32,MATCH(180-$A34,'Desconto Processos'!$A$5:$A$32,0),MATCH(H$9,'Desconto Processos'!$B$3:$G$3,0))+INDEX('Acrescimo Tangente'!$B$4:$N$31,MATCH($A34,$A$10:$A$37,0),MATCH(H$9,$B$9:$N$9,0)))</f>
        <v>13.296551211459379</v>
      </c>
      <c r="I34" s="12">
        <f>2*(-1*INDEX('Desconto Processos'!$B$5:$G$32,MATCH(180-$A34,'Desconto Processos'!$A$5:$A$32,0),MATCH(I$9,'Desconto Processos'!$B$3:$G$3,0))+INDEX('Acrescimo Tangente'!$B$4:$N$31,MATCH($A34,$A$10:$A$37,0),MATCH(I$9,$B$9:$N$9,0)))</f>
        <v>14.127922061357857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</row>
    <row r="35" spans="1:14" ht="15.75" x14ac:dyDescent="0.25">
      <c r="A35" s="9">
        <v>140</v>
      </c>
      <c r="B35" s="12">
        <v>1.2</v>
      </c>
      <c r="C35" s="12">
        <f>2*(-1*INDEX('Desconto Processos'!$B$5:$G$32,MATCH(180-$A35,'Desconto Processos'!$A$5:$A$32,0),MATCH(C$9,'Desconto Processos'!$B$3:$G$3,0))+INDEX('Acrescimo Tangente'!$B$4:$N$31,MATCH($A35,$A$10:$A$37,0),MATCH(C$9,$B$9:$N$9,0)))</f>
        <v>13.533350968400507</v>
      </c>
      <c r="D35" s="12">
        <f>2*(-1*INDEX('Desconto Processos'!$B$5:$G$32,MATCH(180-$A35,'Desconto Processos'!$A$5:$A$32,0),MATCH(D$9,'Desconto Processos'!$B$3:$G$3,0))+INDEX('Acrescimo Tangente'!$B$4:$N$31,MATCH($A35,$A$10:$A$37,0),MATCH(D$9,$B$9:$N$9,0)))</f>
        <v>13.882846452291432</v>
      </c>
      <c r="E35" s="12">
        <f>2*(-1*INDEX('Desconto Processos'!$B$5:$G$32,MATCH(180-$A35,'Desconto Processos'!$A$5:$A$32,0),MATCH(E$9,'Desconto Processos'!$B$3:$G$3,0))+INDEX('Acrescimo Tangente'!$B$4:$N$31,MATCH($A35,$A$10:$A$37,0),MATCH(E$9,$B$9:$N$9,0)))</f>
        <v>14.332341936182356</v>
      </c>
      <c r="F35" s="12">
        <f>2*(-1*INDEX('Desconto Processos'!$B$5:$G$32,MATCH(180-$A35,'Desconto Processos'!$A$5:$A$32,0),MATCH(F$9,'Desconto Processos'!$B$3:$G$3,0))+INDEX('Acrescimo Tangente'!$B$4:$N$31,MATCH($A35,$A$10:$A$37,0),MATCH(F$9,$B$9:$N$9,0)))</f>
        <v>14.381837420073282</v>
      </c>
      <c r="G35" s="11">
        <v>0</v>
      </c>
      <c r="H35" s="12">
        <f>2*(-1*INDEX('Desconto Processos'!$B$5:$G$32,MATCH(180-$A35,'Desconto Processos'!$A$5:$A$32,0),MATCH(H$9,'Desconto Processos'!$B$3:$G$3,0))+INDEX('Acrescimo Tangente'!$B$4:$N$31,MATCH($A35,$A$10:$A$37,0),MATCH(H$9,$B$9:$N$9,0)))</f>
        <v>15.829314839527902</v>
      </c>
      <c r="I35" s="12">
        <f>2*(-1*INDEX('Desconto Processos'!$B$5:$G$32,MATCH(180-$A35,'Desconto Processos'!$A$5:$A$32,0),MATCH(I$9,'Desconto Processos'!$B$3:$G$3,0))+INDEX('Acrescimo Tangente'!$B$4:$N$31,MATCH($A35,$A$10:$A$37,0),MATCH(I$9,$B$9:$N$9,0)))</f>
        <v>16.927296775091602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</row>
    <row r="36" spans="1:14" ht="15.75" x14ac:dyDescent="0.25">
      <c r="A36" s="9">
        <v>145</v>
      </c>
      <c r="B36" s="12">
        <v>1.2</v>
      </c>
      <c r="C36" s="12">
        <f>2*(-1*INDEX('Desconto Processos'!$B$5:$G$32,MATCH(180-$A36,'Desconto Processos'!$A$5:$A$32,0),MATCH(C$9,'Desconto Processos'!$B$3:$G$3,0))+INDEX('Acrescimo Tangente'!$B$4:$N$31,MATCH($A36,$A$10:$A$37,0),MATCH(C$9,$B$9:$N$9,0)))</f>
        <v>16.132525695597202</v>
      </c>
      <c r="D36" s="12">
        <f>2*(-1*INDEX('Desconto Processos'!$B$5:$G$32,MATCH(180-$A36,'Desconto Processos'!$A$5:$A$32,0),MATCH(D$9,'Desconto Processos'!$B$3:$G$3,0))+INDEX('Acrescimo Tangente'!$B$4:$N$31,MATCH($A36,$A$10:$A$37,0),MATCH(D$9,$B$9:$N$9,0)))</f>
        <v>16.566844656069847</v>
      </c>
      <c r="E36" s="12">
        <f>2*(-1*INDEX('Desconto Processos'!$B$5:$G$32,MATCH(180-$A36,'Desconto Processos'!$A$5:$A$32,0),MATCH(E$9,'Desconto Processos'!$B$3:$G$3,0))+INDEX('Acrescimo Tangente'!$B$4:$N$31,MATCH($A36,$A$10:$A$37,0),MATCH(E$9,$B$9:$N$9,0)))</f>
        <v>17.10116361654249</v>
      </c>
      <c r="F36" s="12">
        <f>2*(-1*INDEX('Desconto Processos'!$B$5:$G$32,MATCH(180-$A36,'Desconto Processos'!$A$5:$A$32,0),MATCH(F$9,'Desconto Processos'!$B$3:$G$3,0))+INDEX('Acrescimo Tangente'!$B$4:$N$31,MATCH($A36,$A$10:$A$37,0),MATCH(F$9,$B$9:$N$9,0)))</f>
        <v>17.235482577015134</v>
      </c>
      <c r="G36" s="11">
        <v>0</v>
      </c>
      <c r="H36" s="12">
        <f>2*(-1*INDEX('Desconto Processos'!$B$5:$G$32,MATCH(180-$A36,'Desconto Processos'!$A$5:$A$32,0),MATCH(H$9,'Desconto Processos'!$B$3:$G$3,0))+INDEX('Acrescimo Tangente'!$B$4:$N$31,MATCH($A36,$A$10:$A$37,0),MATCH(H$9,$B$9:$N$9,0)))</f>
        <v>19.107077379378342</v>
      </c>
      <c r="I36" s="12">
        <f>2*(-1*INDEX('Desconto Processos'!$B$5:$G$32,MATCH(180-$A36,'Desconto Processos'!$A$5:$A$32,0),MATCH(I$9,'Desconto Processos'!$B$3:$G$3,0))+INDEX('Acrescimo Tangente'!$B$4:$N$31,MATCH($A36,$A$10:$A$37,0),MATCH(I$9,$B$9:$N$9,0)))</f>
        <v>20.544353221268914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</row>
    <row r="37" spans="1:14" ht="15.75" x14ac:dyDescent="0.25">
      <c r="A37" s="9">
        <v>150</v>
      </c>
      <c r="B37" s="12">
        <v>1.2</v>
      </c>
      <c r="C37" s="12">
        <f>2*(-1*INDEX('Desconto Processos'!$B$5:$G$32,MATCH(180-$A37,'Desconto Processos'!$A$5:$A$32,0),MATCH(C$9,'Desconto Processos'!$B$3:$G$3,0))+INDEX('Acrescimo Tangente'!$B$4:$N$31,MATCH($A37,$A$10:$A$37,0),MATCH(C$9,$B$9:$N$9,0)))</f>
        <v>19.631535329954591</v>
      </c>
      <c r="D37" s="12">
        <f>2*(-1*INDEX('Desconto Processos'!$B$5:$G$32,MATCH(180-$A37,'Desconto Processos'!$A$5:$A$32,0),MATCH(D$9,'Desconto Processos'!$B$3:$G$3,0))+INDEX('Acrescimo Tangente'!$B$4:$N$31,MATCH($A37,$A$10:$A$37,0),MATCH(D$9,$B$9:$N$9,0)))</f>
        <v>20.177945491468368</v>
      </c>
      <c r="E37" s="12">
        <f>2*(-1*INDEX('Desconto Processos'!$B$5:$G$32,MATCH(180-$A37,'Desconto Processos'!$A$5:$A$32,0),MATCH(E$9,'Desconto Processos'!$B$3:$G$3,0))+INDEX('Acrescimo Tangente'!$B$4:$N$31,MATCH($A37,$A$10:$A$37,0),MATCH(E$9,$B$9:$N$9,0)))</f>
        <v>20.824355652982142</v>
      </c>
      <c r="F37" s="12">
        <f>2*(-1*INDEX('Desconto Processos'!$B$5:$G$32,MATCH(180-$A37,'Desconto Processos'!$A$5:$A$32,0),MATCH(F$9,'Desconto Processos'!$B$3:$G$3,0))+INDEX('Acrescimo Tangente'!$B$4:$N$31,MATCH($A37,$A$10:$A$37,0),MATCH(F$9,$B$9:$N$9,0)))</f>
        <v>21.070765814495918</v>
      </c>
      <c r="G37" s="11">
        <v>0</v>
      </c>
      <c r="H37" s="12">
        <f>2*(-1*INDEX('Desconto Processos'!$B$5:$G$32,MATCH(180-$A37,'Desconto Processos'!$A$5:$A$32,0),MATCH(H$9,'Desconto Processos'!$B$3:$G$3,0))+INDEX('Acrescimo Tangente'!$B$4:$N$31,MATCH($A37,$A$10:$A$37,0),MATCH(H$9,$B$9:$N$9,0)))</f>
        <v>23.502816622064795</v>
      </c>
      <c r="I37" s="12">
        <f>2*(-1*INDEX('Desconto Processos'!$B$5:$G$32,MATCH(180-$A37,'Desconto Processos'!$A$5:$A$32,0),MATCH(I$9,'Desconto Processos'!$B$3:$G$3,0))+INDEX('Acrescimo Tangente'!$B$4:$N$31,MATCH($A37,$A$10:$A$37,0),MATCH(I$9,$B$9:$N$9,0)))</f>
        <v>25.3884572681199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</row>
    <row r="38" spans="1:14" ht="15.75" thickBot="1" x14ac:dyDescent="0.3"/>
    <row r="39" spans="1:14" ht="16.5" thickBot="1" x14ac:dyDescent="0.3">
      <c r="A39" s="6" t="s">
        <v>6</v>
      </c>
      <c r="B39" s="7">
        <v>3.2</v>
      </c>
      <c r="C39" s="5"/>
      <c r="D39" s="5"/>
      <c r="E39" s="5"/>
      <c r="F39" s="5"/>
      <c r="G39" s="5"/>
      <c r="H39" s="5"/>
      <c r="I39" s="5"/>
      <c r="J39" s="5"/>
    </row>
    <row r="40" spans="1:14" ht="16.5" thickBot="1" x14ac:dyDescent="0.3">
      <c r="A40" s="62" t="s">
        <v>7</v>
      </c>
      <c r="B40" s="64" t="s">
        <v>8</v>
      </c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6"/>
    </row>
    <row r="41" spans="1:14" ht="16.5" thickBot="1" x14ac:dyDescent="0.3">
      <c r="A41" s="63"/>
      <c r="B41" s="14">
        <v>0.5</v>
      </c>
      <c r="C41" s="8">
        <v>1.3</v>
      </c>
      <c r="D41" s="8">
        <v>1.4</v>
      </c>
      <c r="E41" s="8">
        <v>1.5</v>
      </c>
      <c r="F41" s="8">
        <v>1.6</v>
      </c>
      <c r="G41" s="14">
        <v>2</v>
      </c>
      <c r="H41" s="14">
        <v>2.1</v>
      </c>
      <c r="I41" s="8">
        <v>2.5</v>
      </c>
      <c r="J41" s="14">
        <v>2.8</v>
      </c>
      <c r="K41" s="8">
        <v>3.2</v>
      </c>
      <c r="L41" s="8">
        <v>3.3</v>
      </c>
      <c r="M41" s="8">
        <v>4</v>
      </c>
      <c r="N41" s="8">
        <v>4.2</v>
      </c>
    </row>
    <row r="42" spans="1:14" ht="15.75" x14ac:dyDescent="0.25">
      <c r="A42" s="9">
        <v>15</v>
      </c>
      <c r="B42" s="12">
        <v>0.8</v>
      </c>
      <c r="C42" s="11">
        <v>0</v>
      </c>
      <c r="D42" s="11">
        <v>0</v>
      </c>
      <c r="E42" s="11">
        <v>0</v>
      </c>
      <c r="F42" s="11">
        <v>0</v>
      </c>
      <c r="G42" s="12">
        <f>2*(-1*INDEX('Desconto Processos'!$H$5:$J$32,MATCH(180-$A42,'Desconto Processos'!$A$5:$A$32,0),MATCH(G$41,'Desconto Processos'!$H$3:$J$3,0))+INDEX('Acrescimo Tangente'!$B$36:$N$63,MATCH($A42,$A$10:$A$37,0),MATCH(G$41,$B$9:$N$9,0)))</f>
        <v>0.6</v>
      </c>
      <c r="H42" s="10">
        <f>2*(-1*INDEX('Desconto Processos'!$H$5:$J$32,MATCH(180-$A42,'Desconto Processos'!$A$5:$A$32,0),MATCH(H$41,'Desconto Processos'!$H$3:$J$3,0))+INDEX('Acrescimo Tangente'!$B$36:$N$63,MATCH($A42,$A$10:$A$37,0),MATCH(H$41,$B$9:$N$9,0)))</f>
        <v>0.7</v>
      </c>
      <c r="I42" s="11">
        <v>0</v>
      </c>
      <c r="J42" s="10">
        <f>2*(-1*INDEX('Desconto Processos'!$H$5:$J$32,MATCH(180-$A42,'Desconto Processos'!$A$5:$A$32,0),MATCH(J$41,'Desconto Processos'!$H$3:$J$3,0))+INDEX('Acrescimo Tangente'!$B$36:$N$63,MATCH($A42,$A$10:$A$37,0),MATCH(J$41,$B$9:$N$9,0)))</f>
        <v>0.9</v>
      </c>
      <c r="K42" s="11">
        <v>0</v>
      </c>
      <c r="L42" s="11">
        <v>0</v>
      </c>
      <c r="M42" s="11">
        <v>0</v>
      </c>
      <c r="N42" s="11">
        <v>0</v>
      </c>
    </row>
    <row r="43" spans="1:14" ht="15.75" x14ac:dyDescent="0.25">
      <c r="A43" s="9">
        <v>20</v>
      </c>
      <c r="B43" s="10">
        <v>0.8</v>
      </c>
      <c r="C43" s="11">
        <v>0</v>
      </c>
      <c r="D43" s="11">
        <v>0</v>
      </c>
      <c r="E43" s="11">
        <v>0</v>
      </c>
      <c r="F43" s="11">
        <v>0</v>
      </c>
      <c r="G43" s="10">
        <f>2*(-1*INDEX('Desconto Processos'!$H$5:$J$32,MATCH(180-$A43,'Desconto Processos'!$A$5:$A$32,0),MATCH(G$41,'Desconto Processos'!$H$3:$J$3,0))+INDEX('Acrescimo Tangente'!$B$36:$N$63,MATCH($A43,$A$10:$A$37,0),MATCH(G$41,$B$9:$N$9,0)))</f>
        <v>0.8</v>
      </c>
      <c r="H43" s="10">
        <f>2*(-1*INDEX('Desconto Processos'!$H$5:$J$32,MATCH(180-$A43,'Desconto Processos'!$A$5:$A$32,0),MATCH(H$41,'Desconto Processos'!$H$3:$J$3,0))+INDEX('Acrescimo Tangente'!$B$36:$N$63,MATCH($A43,$A$10:$A$37,0),MATCH(H$41,$B$9:$N$9,0)))</f>
        <v>0.8</v>
      </c>
      <c r="I43" s="11">
        <v>0</v>
      </c>
      <c r="J43" s="10">
        <f>2*(-1*INDEX('Desconto Processos'!$H$5:$J$32,MATCH(180-$A43,'Desconto Processos'!$A$5:$A$32,0),MATCH(J$41,'Desconto Processos'!$H$3:$J$3,0))+INDEX('Acrescimo Tangente'!$B$36:$N$63,MATCH($A43,$A$10:$A$37,0),MATCH(J$41,$B$9:$N$9,0)))</f>
        <v>1</v>
      </c>
      <c r="K43" s="11">
        <v>0</v>
      </c>
      <c r="L43" s="11">
        <v>0</v>
      </c>
      <c r="M43" s="11">
        <v>0</v>
      </c>
      <c r="N43" s="11">
        <v>0</v>
      </c>
    </row>
    <row r="44" spans="1:14" ht="15.75" x14ac:dyDescent="0.25">
      <c r="A44" s="9">
        <v>25</v>
      </c>
      <c r="B44" s="10">
        <v>0.8</v>
      </c>
      <c r="C44" s="11">
        <v>0</v>
      </c>
      <c r="D44" s="11">
        <v>0</v>
      </c>
      <c r="E44" s="11">
        <v>0</v>
      </c>
      <c r="F44" s="11">
        <v>0</v>
      </c>
      <c r="G44" s="10">
        <f>2*(-1*INDEX('Desconto Processos'!$H$5:$J$32,MATCH(180-$A44,'Desconto Processos'!$A$5:$A$32,0),MATCH(G$41,'Desconto Processos'!$H$3:$J$3,0))+INDEX('Acrescimo Tangente'!$B$36:$N$63,MATCH($A44,$A$10:$A$37,0),MATCH(G$41,$B$9:$N$9,0)))</f>
        <v>1</v>
      </c>
      <c r="H44" s="10">
        <f>2*(-1*INDEX('Desconto Processos'!$H$5:$J$32,MATCH(180-$A44,'Desconto Processos'!$A$5:$A$32,0),MATCH(H$41,'Desconto Processos'!$H$3:$J$3,0))+INDEX('Acrescimo Tangente'!$B$36:$N$63,MATCH($A44,$A$10:$A$37,0),MATCH(H$41,$B$9:$N$9,0)))</f>
        <v>1</v>
      </c>
      <c r="I44" s="11">
        <v>0</v>
      </c>
      <c r="J44" s="10">
        <f>2*(-1*INDEX('Desconto Processos'!$H$5:$J$32,MATCH(180-$A44,'Desconto Processos'!$A$5:$A$32,0),MATCH(J$41,'Desconto Processos'!$H$3:$J$3,0))+INDEX('Acrescimo Tangente'!$B$36:$N$63,MATCH($A44,$A$10:$A$37,0),MATCH(J$41,$B$9:$N$9,0)))</f>
        <v>1.2</v>
      </c>
      <c r="K44" s="11">
        <v>0</v>
      </c>
      <c r="L44" s="11">
        <v>0</v>
      </c>
      <c r="M44" s="11">
        <v>0</v>
      </c>
      <c r="N44" s="11">
        <v>0</v>
      </c>
    </row>
    <row r="45" spans="1:14" ht="15.75" x14ac:dyDescent="0.25">
      <c r="A45" s="9">
        <v>30</v>
      </c>
      <c r="B45" s="10">
        <v>0.8</v>
      </c>
      <c r="C45" s="11">
        <v>0</v>
      </c>
      <c r="D45" s="11">
        <v>0</v>
      </c>
      <c r="E45" s="11">
        <v>0</v>
      </c>
      <c r="F45" s="11">
        <v>0</v>
      </c>
      <c r="G45" s="10">
        <f>2*(-1*INDEX('Desconto Processos'!$H$5:$J$32,MATCH(180-$A45,'Desconto Processos'!$A$5:$A$32,0),MATCH(G$41,'Desconto Processos'!$H$3:$J$3,0))+INDEX('Acrescimo Tangente'!$B$36:$N$63,MATCH($A45,$A$10:$A$37,0),MATCH(G$41,$B$9:$N$9,0)))</f>
        <v>1.2</v>
      </c>
      <c r="H45" s="10">
        <f>2*(-1*INDEX('Desconto Processos'!$H$5:$J$32,MATCH(180-$A45,'Desconto Processos'!$A$5:$A$32,0),MATCH(H$41,'Desconto Processos'!$H$3:$J$3,0))+INDEX('Acrescimo Tangente'!$B$36:$N$63,MATCH($A45,$A$10:$A$37,0),MATCH(H$41,$B$9:$N$9,0)))</f>
        <v>1.2</v>
      </c>
      <c r="I45" s="11">
        <v>0</v>
      </c>
      <c r="J45" s="10">
        <f>2*(-1*INDEX('Desconto Processos'!$H$5:$J$32,MATCH(180-$A45,'Desconto Processos'!$A$5:$A$32,0),MATCH(J$41,'Desconto Processos'!$H$3:$J$3,0))+INDEX('Acrescimo Tangente'!$B$36:$N$63,MATCH($A45,$A$10:$A$37,0),MATCH(J$41,$B$9:$N$9,0)))</f>
        <v>1.3</v>
      </c>
      <c r="K45" s="11">
        <v>0</v>
      </c>
      <c r="L45" s="11">
        <v>0</v>
      </c>
      <c r="M45" s="11">
        <v>0</v>
      </c>
      <c r="N45" s="11">
        <v>0</v>
      </c>
    </row>
    <row r="46" spans="1:14" ht="15.75" x14ac:dyDescent="0.25">
      <c r="A46" s="9">
        <v>35</v>
      </c>
      <c r="B46" s="10">
        <v>0.8</v>
      </c>
      <c r="C46" s="11">
        <v>0</v>
      </c>
      <c r="D46" s="11">
        <v>0</v>
      </c>
      <c r="E46" s="11">
        <v>0</v>
      </c>
      <c r="F46" s="11">
        <v>0</v>
      </c>
      <c r="G46" s="10">
        <f>2*(-1*INDEX('Desconto Processos'!$H$5:$J$32,MATCH(180-$A46,'Desconto Processos'!$A$5:$A$32,0),MATCH(G$41,'Desconto Processos'!$H$3:$J$3,0))+INDEX('Acrescimo Tangente'!$B$36:$N$63,MATCH($A46,$A$10:$A$37,0),MATCH(G$41,$B$9:$N$9,0)))</f>
        <v>1.5</v>
      </c>
      <c r="H46" s="10">
        <f>2*(-1*INDEX('Desconto Processos'!$H$5:$J$32,MATCH(180-$A46,'Desconto Processos'!$A$5:$A$32,0),MATCH(H$41,'Desconto Processos'!$H$3:$J$3,0))+INDEX('Acrescimo Tangente'!$B$36:$N$63,MATCH($A46,$A$10:$A$37,0),MATCH(H$41,$B$9:$N$9,0)))</f>
        <v>1.5</v>
      </c>
      <c r="I46" s="11">
        <v>0</v>
      </c>
      <c r="J46" s="10">
        <f>2*(-1*INDEX('Desconto Processos'!$H$5:$J$32,MATCH(180-$A46,'Desconto Processos'!$A$5:$A$32,0),MATCH(J$41,'Desconto Processos'!$H$3:$J$3,0))+INDEX('Acrescimo Tangente'!$B$36:$N$63,MATCH($A46,$A$10:$A$37,0),MATCH(J$41,$B$9:$N$9,0)))</f>
        <v>1.4</v>
      </c>
      <c r="K46" s="11">
        <v>0</v>
      </c>
      <c r="L46" s="11">
        <v>0</v>
      </c>
      <c r="M46" s="11">
        <v>0</v>
      </c>
      <c r="N46" s="11">
        <v>0</v>
      </c>
    </row>
    <row r="47" spans="1:14" ht="15.75" x14ac:dyDescent="0.25">
      <c r="A47" s="9">
        <v>40</v>
      </c>
      <c r="B47" s="10">
        <v>0.8</v>
      </c>
      <c r="C47" s="11">
        <v>0</v>
      </c>
      <c r="D47" s="11">
        <v>0</v>
      </c>
      <c r="E47" s="11">
        <v>0</v>
      </c>
      <c r="F47" s="11">
        <v>0</v>
      </c>
      <c r="G47" s="10">
        <f>2*(-1*INDEX('Desconto Processos'!$H$5:$J$32,MATCH(180-$A47,'Desconto Processos'!$A$5:$A$32,0),MATCH(G$41,'Desconto Processos'!$H$3:$J$3,0))+INDEX('Acrescimo Tangente'!$B$36:$N$63,MATCH($A47,$A$10:$A$37,0),MATCH(G$41,$B$9:$N$9,0)))</f>
        <v>1.6</v>
      </c>
      <c r="H47" s="10">
        <f>2*(-1*INDEX('Desconto Processos'!$H$5:$J$32,MATCH(180-$A47,'Desconto Processos'!$A$5:$A$32,0),MATCH(H$41,'Desconto Processos'!$H$3:$J$3,0))+INDEX('Acrescimo Tangente'!$B$36:$N$63,MATCH($A47,$A$10:$A$37,0),MATCH(H$41,$B$9:$N$9,0)))</f>
        <v>1.8</v>
      </c>
      <c r="I47" s="11">
        <v>0</v>
      </c>
      <c r="J47" s="10">
        <f>2*(-1*INDEX('Desconto Processos'!$H$5:$J$32,MATCH(180-$A47,'Desconto Processos'!$A$5:$A$32,0),MATCH(J$41,'Desconto Processos'!$H$3:$J$3,0))+INDEX('Acrescimo Tangente'!$B$36:$N$63,MATCH($A47,$A$10:$A$37,0),MATCH(J$41,$B$9:$N$9,0)))</f>
        <v>1.7</v>
      </c>
      <c r="K47" s="11">
        <v>0</v>
      </c>
      <c r="L47" s="11">
        <v>0</v>
      </c>
      <c r="M47" s="11">
        <v>0</v>
      </c>
      <c r="N47" s="11">
        <v>0</v>
      </c>
    </row>
    <row r="48" spans="1:14" ht="15.75" x14ac:dyDescent="0.25">
      <c r="A48" s="9">
        <v>45</v>
      </c>
      <c r="B48" s="10">
        <v>0.8</v>
      </c>
      <c r="C48" s="11">
        <v>0</v>
      </c>
      <c r="D48" s="11">
        <v>0</v>
      </c>
      <c r="E48" s="11">
        <v>0</v>
      </c>
      <c r="F48" s="11">
        <v>0</v>
      </c>
      <c r="G48" s="10">
        <f>2*(-1*INDEX('Desconto Processos'!$H$5:$J$32,MATCH(180-$A48,'Desconto Processos'!$A$5:$A$32,0),MATCH(G$41,'Desconto Processos'!$H$3:$J$3,0))+INDEX('Acrescimo Tangente'!$B$36:$N$63,MATCH($A48,$A$10:$A$37,0),MATCH(G$41,$B$9:$N$9,0)))</f>
        <v>1.9</v>
      </c>
      <c r="H48" s="10">
        <f>2*(-1*INDEX('Desconto Processos'!$H$5:$J$32,MATCH(180-$A48,'Desconto Processos'!$A$5:$A$32,0),MATCH(H$41,'Desconto Processos'!$H$3:$J$3,0))+INDEX('Acrescimo Tangente'!$B$36:$N$63,MATCH($A48,$A$10:$A$37,0),MATCH(H$41,$B$9:$N$9,0)))</f>
        <v>2</v>
      </c>
      <c r="I48" s="11">
        <v>0</v>
      </c>
      <c r="J48" s="10">
        <f>2*(-1*INDEX('Desconto Processos'!$H$5:$J$32,MATCH(180-$A48,'Desconto Processos'!$A$5:$A$32,0),MATCH(J$41,'Desconto Processos'!$H$3:$J$3,0))+INDEX('Acrescimo Tangente'!$B$36:$N$63,MATCH($A48,$A$10:$A$37,0),MATCH(J$41,$B$9:$N$9,0)))</f>
        <v>2</v>
      </c>
      <c r="K48" s="11">
        <v>0</v>
      </c>
      <c r="L48" s="11">
        <v>0</v>
      </c>
      <c r="M48" s="11">
        <v>0</v>
      </c>
      <c r="N48" s="11">
        <v>0</v>
      </c>
    </row>
    <row r="49" spans="1:14" ht="15.75" x14ac:dyDescent="0.25">
      <c r="A49" s="9">
        <v>50</v>
      </c>
      <c r="B49" s="10">
        <v>0.8</v>
      </c>
      <c r="C49" s="11">
        <v>0</v>
      </c>
      <c r="D49" s="11">
        <v>0</v>
      </c>
      <c r="E49" s="11">
        <v>0</v>
      </c>
      <c r="F49" s="11">
        <v>0</v>
      </c>
      <c r="G49" s="10">
        <f>2*(-1*INDEX('Desconto Processos'!$H$5:$J$32,MATCH(180-$A49,'Desconto Processos'!$A$5:$A$32,0),MATCH(G$41,'Desconto Processos'!$H$3:$J$3,0))+INDEX('Acrescimo Tangente'!$B$36:$N$63,MATCH($A49,$A$10:$A$37,0),MATCH(G$41,$B$9:$N$9,0)))</f>
        <v>2.1</v>
      </c>
      <c r="H49" s="10">
        <f>2*(-1*INDEX('Desconto Processos'!$H$5:$J$32,MATCH(180-$A49,'Desconto Processos'!$A$5:$A$32,0),MATCH(H$41,'Desconto Processos'!$H$3:$J$3,0))+INDEX('Acrescimo Tangente'!$B$36:$N$63,MATCH($A49,$A$10:$A$37,0),MATCH(H$41,$B$9:$N$9,0)))</f>
        <v>2.2000000000000002</v>
      </c>
      <c r="I49" s="11">
        <v>0</v>
      </c>
      <c r="J49" s="10">
        <f>2*(-1*INDEX('Desconto Processos'!$H$5:$J$32,MATCH(180-$A49,'Desconto Processos'!$A$5:$A$32,0),MATCH(J$41,'Desconto Processos'!$H$3:$J$3,0))+INDEX('Acrescimo Tangente'!$B$36:$N$63,MATCH($A49,$A$10:$A$37,0),MATCH(J$41,$B$9:$N$9,0)))</f>
        <v>2.2999999999999998</v>
      </c>
      <c r="K49" s="11">
        <v>0</v>
      </c>
      <c r="L49" s="11">
        <v>0</v>
      </c>
      <c r="M49" s="11">
        <v>0</v>
      </c>
      <c r="N49" s="11">
        <v>0</v>
      </c>
    </row>
    <row r="50" spans="1:14" ht="15.75" x14ac:dyDescent="0.25">
      <c r="A50" s="9">
        <v>55</v>
      </c>
      <c r="B50" s="10">
        <v>0.8</v>
      </c>
      <c r="C50" s="11">
        <v>0</v>
      </c>
      <c r="D50" s="11">
        <v>0</v>
      </c>
      <c r="E50" s="11">
        <v>0</v>
      </c>
      <c r="F50" s="11">
        <v>0</v>
      </c>
      <c r="G50" s="10">
        <f>2*(-1*INDEX('Desconto Processos'!$H$5:$J$32,MATCH(180-$A50,'Desconto Processos'!$A$5:$A$32,0),MATCH(G$41,'Desconto Processos'!$H$3:$J$3,0))+INDEX('Acrescimo Tangente'!$B$36:$N$63,MATCH($A50,$A$10:$A$37,0),MATCH(G$41,$B$9:$N$9,0)))</f>
        <v>2.2999999999999998</v>
      </c>
      <c r="H50" s="10">
        <f>2*(-1*INDEX('Desconto Processos'!$H$5:$J$32,MATCH(180-$A50,'Desconto Processos'!$A$5:$A$32,0),MATCH(H$41,'Desconto Processos'!$H$3:$J$3,0))+INDEX('Acrescimo Tangente'!$B$36:$N$63,MATCH($A50,$A$10:$A$37,0),MATCH(H$41,$B$9:$N$9,0)))</f>
        <v>2.5</v>
      </c>
      <c r="I50" s="11">
        <v>0</v>
      </c>
      <c r="J50" s="10">
        <f>2*(-1*INDEX('Desconto Processos'!$H$5:$J$32,MATCH(180-$A50,'Desconto Processos'!$A$5:$A$32,0),MATCH(J$41,'Desconto Processos'!$H$3:$J$3,0))+INDEX('Acrescimo Tangente'!$B$36:$N$63,MATCH($A50,$A$10:$A$37,0),MATCH(J$41,$B$9:$N$9,0)))</f>
        <v>2.6</v>
      </c>
      <c r="K50" s="11">
        <v>0</v>
      </c>
      <c r="L50" s="11">
        <v>0</v>
      </c>
      <c r="M50" s="11">
        <v>0</v>
      </c>
      <c r="N50" s="11">
        <v>0</v>
      </c>
    </row>
    <row r="51" spans="1:14" ht="15.75" x14ac:dyDescent="0.25">
      <c r="A51" s="9">
        <v>60</v>
      </c>
      <c r="B51" s="10">
        <v>0.8</v>
      </c>
      <c r="C51" s="11">
        <v>0</v>
      </c>
      <c r="D51" s="11">
        <v>0</v>
      </c>
      <c r="E51" s="11">
        <v>0</v>
      </c>
      <c r="F51" s="11">
        <v>0</v>
      </c>
      <c r="G51" s="10">
        <f>2*(-1*INDEX('Desconto Processos'!$H$5:$J$32,MATCH(180-$A51,'Desconto Processos'!$A$5:$A$32,0),MATCH(G$41,'Desconto Processos'!$H$3:$J$3,0))+INDEX('Acrescimo Tangente'!$B$36:$N$63,MATCH($A51,$A$10:$A$37,0),MATCH(G$41,$B$9:$N$9,0)))</f>
        <v>2.6</v>
      </c>
      <c r="H51" s="10">
        <f>2*(-1*INDEX('Desconto Processos'!$H$5:$J$32,MATCH(180-$A51,'Desconto Processos'!$A$5:$A$32,0),MATCH(H$41,'Desconto Processos'!$H$3:$J$3,0))+INDEX('Acrescimo Tangente'!$B$36:$N$63,MATCH($A51,$A$10:$A$37,0),MATCH(H$41,$B$9:$N$9,0)))</f>
        <v>2.8</v>
      </c>
      <c r="I51" s="11">
        <v>0</v>
      </c>
      <c r="J51" s="10">
        <f>2*(-1*INDEX('Desconto Processos'!$H$5:$J$32,MATCH(180-$A51,'Desconto Processos'!$A$5:$A$32,0),MATCH(J$41,'Desconto Processos'!$H$3:$J$3,0))+INDEX('Acrescimo Tangente'!$B$36:$N$63,MATCH($A51,$A$10:$A$37,0),MATCH(J$41,$B$9:$N$9,0)))</f>
        <v>2.8</v>
      </c>
      <c r="K51" s="11">
        <v>0</v>
      </c>
      <c r="L51" s="11">
        <v>0</v>
      </c>
      <c r="M51" s="11">
        <v>0</v>
      </c>
      <c r="N51" s="11">
        <v>0</v>
      </c>
    </row>
    <row r="52" spans="1:14" ht="15.75" x14ac:dyDescent="0.25">
      <c r="A52" s="9">
        <v>65</v>
      </c>
      <c r="B52" s="10">
        <v>0.8</v>
      </c>
      <c r="C52" s="11">
        <v>0</v>
      </c>
      <c r="D52" s="11">
        <v>0</v>
      </c>
      <c r="E52" s="11">
        <v>0</v>
      </c>
      <c r="F52" s="11">
        <v>0</v>
      </c>
      <c r="G52" s="10">
        <f>2*(-1*INDEX('Desconto Processos'!$H$5:$J$32,MATCH(180-$A52,'Desconto Processos'!$A$5:$A$32,0),MATCH(G$41,'Desconto Processos'!$H$3:$J$3,0))+INDEX('Acrescimo Tangente'!$B$36:$N$63,MATCH($A52,$A$10:$A$37,0),MATCH(G$41,$B$9:$N$9,0)))</f>
        <v>3.1</v>
      </c>
      <c r="H52" s="10">
        <f>2*(-1*INDEX('Desconto Processos'!$H$5:$J$32,MATCH(180-$A52,'Desconto Processos'!$A$5:$A$32,0),MATCH(H$41,'Desconto Processos'!$H$3:$J$3,0))+INDEX('Acrescimo Tangente'!$B$36:$N$63,MATCH($A52,$A$10:$A$37,0),MATCH(H$41,$B$9:$N$9,0)))</f>
        <v>3.3</v>
      </c>
      <c r="I52" s="11">
        <v>0</v>
      </c>
      <c r="J52" s="10">
        <f>2*(-1*INDEX('Desconto Processos'!$H$5:$J$32,MATCH(180-$A52,'Desconto Processos'!$A$5:$A$32,0),MATCH(J$41,'Desconto Processos'!$H$3:$J$3,0))+INDEX('Acrescimo Tangente'!$B$36:$N$63,MATCH($A52,$A$10:$A$37,0),MATCH(J$41,$B$9:$N$9,0)))</f>
        <v>3.3</v>
      </c>
      <c r="K52" s="11">
        <v>0</v>
      </c>
      <c r="L52" s="11">
        <v>0</v>
      </c>
      <c r="M52" s="11">
        <v>0</v>
      </c>
      <c r="N52" s="11">
        <v>0</v>
      </c>
    </row>
    <row r="53" spans="1:14" ht="15.75" x14ac:dyDescent="0.25">
      <c r="A53" s="9">
        <v>70</v>
      </c>
      <c r="B53" s="10">
        <v>0.8</v>
      </c>
      <c r="C53" s="11">
        <v>0</v>
      </c>
      <c r="D53" s="11">
        <v>0</v>
      </c>
      <c r="E53" s="11">
        <v>0</v>
      </c>
      <c r="F53" s="11">
        <v>0</v>
      </c>
      <c r="G53" s="10">
        <f>2*(-1*INDEX('Desconto Processos'!$H$5:$J$32,MATCH(180-$A53,'Desconto Processos'!$A$5:$A$32,0),MATCH(G$41,'Desconto Processos'!$H$3:$J$3,0))+INDEX('Acrescimo Tangente'!$B$36:$N$63,MATCH($A53,$A$10:$A$37,0),MATCH(G$41,$B$9:$N$9,0)))</f>
        <v>3.4</v>
      </c>
      <c r="H53" s="10">
        <f>2*(-1*INDEX('Desconto Processos'!$H$5:$J$32,MATCH(180-$A53,'Desconto Processos'!$A$5:$A$32,0),MATCH(H$41,'Desconto Processos'!$H$3:$J$3,0))+INDEX('Acrescimo Tangente'!$B$36:$N$63,MATCH($A53,$A$10:$A$37,0),MATCH(H$41,$B$9:$N$9,0)))</f>
        <v>3.8</v>
      </c>
      <c r="I53" s="11">
        <v>0</v>
      </c>
      <c r="J53" s="10">
        <f>2*(-1*INDEX('Desconto Processos'!$H$5:$J$32,MATCH(180-$A53,'Desconto Processos'!$A$5:$A$32,0),MATCH(J$41,'Desconto Processos'!$H$3:$J$3,0))+INDEX('Acrescimo Tangente'!$B$36:$N$63,MATCH($A53,$A$10:$A$37,0),MATCH(J$41,$B$9:$N$9,0)))</f>
        <v>3.7</v>
      </c>
      <c r="K53" s="11">
        <v>0</v>
      </c>
      <c r="L53" s="11">
        <v>0</v>
      </c>
      <c r="M53" s="11">
        <v>0</v>
      </c>
      <c r="N53" s="11">
        <v>0</v>
      </c>
    </row>
    <row r="54" spans="1:14" ht="15.75" x14ac:dyDescent="0.25">
      <c r="A54" s="9">
        <v>75</v>
      </c>
      <c r="B54" s="10">
        <v>0.8</v>
      </c>
      <c r="C54" s="11">
        <v>0</v>
      </c>
      <c r="D54" s="11">
        <v>0</v>
      </c>
      <c r="E54" s="11">
        <v>0</v>
      </c>
      <c r="F54" s="11">
        <v>0</v>
      </c>
      <c r="G54" s="10">
        <f>2*(-1*INDEX('Desconto Processos'!$H$5:$J$32,MATCH(180-$A54,'Desconto Processos'!$A$5:$A$32,0),MATCH(G$41,'Desconto Processos'!$H$3:$J$3,0))+INDEX('Acrescimo Tangente'!$B$36:$N$63,MATCH($A54,$A$10:$A$37,0),MATCH(G$41,$B$9:$N$9,0)))</f>
        <v>3.7</v>
      </c>
      <c r="H54" s="10">
        <f>2*(-1*INDEX('Desconto Processos'!$H$5:$J$32,MATCH(180-$A54,'Desconto Processos'!$A$5:$A$32,0),MATCH(H$41,'Desconto Processos'!$H$3:$J$3,0))+INDEX('Acrescimo Tangente'!$B$36:$N$63,MATCH($A54,$A$10:$A$37,0),MATCH(H$41,$B$9:$N$9,0)))</f>
        <v>4.0999999999999996</v>
      </c>
      <c r="I54" s="11">
        <v>0</v>
      </c>
      <c r="J54" s="10">
        <f>2*(-1*INDEX('Desconto Processos'!$H$5:$J$32,MATCH(180-$A54,'Desconto Processos'!$A$5:$A$32,0),MATCH(J$41,'Desconto Processos'!$H$3:$J$3,0))+INDEX('Acrescimo Tangente'!$B$36:$N$63,MATCH($A54,$A$10:$A$37,0),MATCH(J$41,$B$9:$N$9,0)))</f>
        <v>4.3</v>
      </c>
      <c r="K54" s="11">
        <v>0</v>
      </c>
      <c r="L54" s="11">
        <v>0</v>
      </c>
      <c r="M54" s="11">
        <v>0</v>
      </c>
      <c r="N54" s="11">
        <v>0</v>
      </c>
    </row>
    <row r="55" spans="1:14" ht="15.75" x14ac:dyDescent="0.25">
      <c r="A55" s="9">
        <v>80</v>
      </c>
      <c r="B55" s="10">
        <v>0.8</v>
      </c>
      <c r="C55" s="11">
        <v>0</v>
      </c>
      <c r="D55" s="11">
        <v>0</v>
      </c>
      <c r="E55" s="11">
        <v>0</v>
      </c>
      <c r="F55" s="11">
        <v>0</v>
      </c>
      <c r="G55" s="10">
        <f>2*(-1*INDEX('Desconto Processos'!$H$5:$J$32,MATCH(180-$A55,'Desconto Processos'!$A$5:$A$32,0),MATCH(G$41,'Desconto Processos'!$H$3:$J$3,0))+INDEX('Acrescimo Tangente'!$B$36:$N$63,MATCH($A55,$A$10:$A$37,0),MATCH(G$41,$B$9:$N$9,0)))</f>
        <v>4.0999999999999996</v>
      </c>
      <c r="H55" s="10">
        <f>2*(-1*INDEX('Desconto Processos'!$H$5:$J$32,MATCH(180-$A55,'Desconto Processos'!$A$5:$A$32,0),MATCH(H$41,'Desconto Processos'!$H$3:$J$3,0))+INDEX('Acrescimo Tangente'!$B$36:$N$63,MATCH($A55,$A$10:$A$37,0),MATCH(H$41,$B$9:$N$9,0)))</f>
        <v>4.5</v>
      </c>
      <c r="I55" s="11">
        <v>0</v>
      </c>
      <c r="J55" s="10">
        <f>2*(-1*INDEX('Desconto Processos'!$H$5:$J$32,MATCH(180-$A55,'Desconto Processos'!$A$5:$A$32,0),MATCH(J$41,'Desconto Processos'!$H$3:$J$3,0))+INDEX('Acrescimo Tangente'!$B$36:$N$63,MATCH($A55,$A$10:$A$37,0),MATCH(J$41,$B$9:$N$9,0)))</f>
        <v>4.5999999999999996</v>
      </c>
      <c r="K55" s="11">
        <v>0</v>
      </c>
      <c r="L55" s="11">
        <v>0</v>
      </c>
      <c r="M55" s="11">
        <v>0</v>
      </c>
      <c r="N55" s="11">
        <v>0</v>
      </c>
    </row>
    <row r="56" spans="1:14" ht="15.75" x14ac:dyDescent="0.25">
      <c r="A56" s="9">
        <v>85</v>
      </c>
      <c r="B56" s="10">
        <v>0.8</v>
      </c>
      <c r="C56" s="11">
        <v>0</v>
      </c>
      <c r="D56" s="11">
        <v>0</v>
      </c>
      <c r="E56" s="11">
        <v>0</v>
      </c>
      <c r="F56" s="11">
        <v>0</v>
      </c>
      <c r="G56" s="10">
        <f>2*(-1*INDEX('Desconto Processos'!$H$5:$J$32,MATCH(180-$A56,'Desconto Processos'!$A$5:$A$32,0),MATCH(G$41,'Desconto Processos'!$H$3:$J$3,0))+INDEX('Acrescimo Tangente'!$B$36:$N$63,MATCH($A56,$A$10:$A$37,0),MATCH(G$41,$B$9:$N$9,0)))</f>
        <v>4.5</v>
      </c>
      <c r="H56" s="10">
        <f>2*(-1*INDEX('Desconto Processos'!$H$5:$J$32,MATCH(180-$A56,'Desconto Processos'!$A$5:$A$32,0),MATCH(H$41,'Desconto Processos'!$H$3:$J$3,0))+INDEX('Acrescimo Tangente'!$B$36:$N$63,MATCH($A56,$A$10:$A$37,0),MATCH(H$41,$B$9:$N$9,0)))</f>
        <v>4.9000000000000004</v>
      </c>
      <c r="I56" s="11">
        <v>0</v>
      </c>
      <c r="J56" s="10">
        <f>2*(-1*INDEX('Desconto Processos'!$H$5:$J$32,MATCH(180-$A56,'Desconto Processos'!$A$5:$A$32,0),MATCH(J$41,'Desconto Processos'!$H$3:$J$3,0))+INDEX('Acrescimo Tangente'!$B$36:$N$63,MATCH($A56,$A$10:$A$37,0),MATCH(J$41,$B$9:$N$9,0)))</f>
        <v>5.0999999999999996</v>
      </c>
      <c r="K56" s="11">
        <v>0</v>
      </c>
      <c r="L56" s="11">
        <v>0</v>
      </c>
      <c r="M56" s="11">
        <v>0</v>
      </c>
      <c r="N56" s="11">
        <v>0</v>
      </c>
    </row>
    <row r="57" spans="1:14" ht="15.75" x14ac:dyDescent="0.25">
      <c r="A57" s="19">
        <v>90</v>
      </c>
      <c r="B57" s="21">
        <v>0.8</v>
      </c>
      <c r="C57" s="20">
        <v>0</v>
      </c>
      <c r="D57" s="20">
        <v>0</v>
      </c>
      <c r="E57" s="20">
        <v>0</v>
      </c>
      <c r="F57" s="20">
        <v>0</v>
      </c>
      <c r="G57" s="21">
        <f>2*(-1*INDEX('Desconto Processos'!$H$5:$J$32,MATCH(180-$A57,'Desconto Processos'!$A$5:$A$32,0),MATCH(G$41,'Desconto Processos'!$H$3:$J$3,0))+INDEX('Acrescimo Tangente'!$B$36:$N$63,MATCH($A57,$A$10:$A$37,0),MATCH(G$41,$B$9:$N$9,0)))</f>
        <v>5</v>
      </c>
      <c r="H57" s="21">
        <f>2*(-1*INDEX('Desconto Processos'!$H$5:$J$32,MATCH(180-$A57,'Desconto Processos'!$A$5:$A$32,0),MATCH(H$41,'Desconto Processos'!$H$3:$J$3,0))+INDEX('Acrescimo Tangente'!$B$36:$N$63,MATCH($A57,$A$10:$A$37,0),MATCH(H$41,$B$9:$N$9,0)))</f>
        <v>5.2</v>
      </c>
      <c r="I57" s="20">
        <v>0</v>
      </c>
      <c r="J57" s="21">
        <f>2*(-1*INDEX('Desconto Processos'!$H$5:$J$32,MATCH(180-$A57,'Desconto Processos'!$A$5:$A$32,0),MATCH(J$41,'Desconto Processos'!$H$3:$J$3,0))+INDEX('Acrescimo Tangente'!$B$36:$N$63,MATCH($A57,$A$10:$A$37,0),MATCH(J$41,$B$9:$N$9,0)))</f>
        <v>5.4</v>
      </c>
      <c r="K57" s="20">
        <v>0</v>
      </c>
      <c r="L57" s="20">
        <v>0</v>
      </c>
      <c r="M57" s="20">
        <v>0</v>
      </c>
      <c r="N57" s="20">
        <v>0</v>
      </c>
    </row>
    <row r="58" spans="1:14" ht="15.75" x14ac:dyDescent="0.25">
      <c r="A58" s="9">
        <v>95</v>
      </c>
      <c r="B58" s="12">
        <v>0.8</v>
      </c>
      <c r="C58" s="13">
        <v>0</v>
      </c>
      <c r="D58" s="13">
        <v>0</v>
      </c>
      <c r="E58" s="13">
        <v>0</v>
      </c>
      <c r="F58" s="13">
        <v>0</v>
      </c>
      <c r="G58" s="12">
        <f>2*(-1*INDEX('Desconto Processos'!$H$5:$J$32,MATCH(180-$A58,'Desconto Processos'!$A$5:$A$32,0),MATCH(G$41,'Desconto Processos'!$H$3:$J$3,0))+INDEX('Acrescimo Tangente'!$B$36:$N$63,MATCH($A58,$A$10:$A$37,0),MATCH(G$41,$B$9:$N$9,0)))</f>
        <v>5.7496084111204224</v>
      </c>
      <c r="H58" s="12">
        <f>2*(-1*INDEX('Desconto Processos'!$H$5:$J$32,MATCH(180-$A58,'Desconto Processos'!$A$5:$A$32,0),MATCH(H$41,'Desconto Processos'!$H$3:$J$3,0))+INDEX('Acrescimo Tangente'!$B$36:$N$63,MATCH($A58,$A$10:$A$37,0),MATCH(H$41,$B$9:$N$9,0)))</f>
        <v>5.8678701113342777</v>
      </c>
      <c r="I58" s="13">
        <v>0</v>
      </c>
      <c r="J58" s="12">
        <f>2*(-1*INDEX('Desconto Processos'!$H$5:$J$32,MATCH(180-$A58,'Desconto Processos'!$A$5:$A$32,0),MATCH(J$41,'Desconto Processos'!$H$3:$J$3,0))+INDEX('Acrescimo Tangente'!$B$36:$N$63,MATCH($A58,$A$10:$A$37,0),MATCH(J$41,$B$9:$N$9,0)))</f>
        <v>6.2957020128312573</v>
      </c>
      <c r="K58" s="11">
        <v>0</v>
      </c>
      <c r="L58" s="11">
        <v>0</v>
      </c>
      <c r="M58" s="11">
        <v>0</v>
      </c>
      <c r="N58" s="11">
        <v>0</v>
      </c>
    </row>
    <row r="59" spans="1:14" ht="15.75" x14ac:dyDescent="0.25">
      <c r="A59" s="9">
        <v>100</v>
      </c>
      <c r="B59" s="12">
        <v>0.8</v>
      </c>
      <c r="C59" s="13">
        <v>0</v>
      </c>
      <c r="D59" s="13">
        <v>0</v>
      </c>
      <c r="E59" s="13">
        <v>0</v>
      </c>
      <c r="F59" s="13">
        <v>0</v>
      </c>
      <c r="G59" s="12">
        <f>2*(-1*INDEX('Desconto Processos'!$H$5:$J$32,MATCH(180-$A59,'Desconto Processos'!$A$5:$A$32,0),MATCH(G$41,'Desconto Processos'!$H$3:$J$3,0))+INDEX('Acrescimo Tangente'!$B$36:$N$63,MATCH($A59,$A$10:$A$37,0),MATCH(G$41,$B$9:$N$9,0)))</f>
        <v>6.5942373629797846</v>
      </c>
      <c r="H59" s="12">
        <f>2*(-1*INDEX('Desconto Processos'!$H$5:$J$32,MATCH(180-$A59,'Desconto Processos'!$A$5:$A$32,0),MATCH(H$41,'Desconto Processos'!$H$3:$J$3,0))+INDEX('Acrescimo Tangente'!$B$36:$N$63,MATCH($A59,$A$10:$A$37,0),MATCH(H$41,$B$9:$N$9,0)))</f>
        <v>6.7325880814986281</v>
      </c>
      <c r="I59" s="13">
        <v>0</v>
      </c>
      <c r="J59" s="12">
        <f>2*(-1*INDEX('Desconto Processos'!$H$5:$J$32,MATCH(180-$A59,'Desconto Processos'!$A$5:$A$32,0),MATCH(J$41,'Desconto Processos'!$H$3:$J$3,0))+INDEX('Acrescimo Tangente'!$B$36:$N$63,MATCH($A59,$A$10:$A$37,0),MATCH(J$41,$B$9:$N$9,0)))</f>
        <v>7.3010431111305216</v>
      </c>
      <c r="K59" s="11">
        <v>0</v>
      </c>
      <c r="L59" s="11">
        <v>0</v>
      </c>
      <c r="M59" s="11">
        <v>0</v>
      </c>
      <c r="N59" s="11">
        <v>0</v>
      </c>
    </row>
    <row r="60" spans="1:14" ht="15.75" x14ac:dyDescent="0.25">
      <c r="A60" s="9">
        <v>105</v>
      </c>
      <c r="B60" s="12">
        <v>0.8</v>
      </c>
      <c r="C60" s="13">
        <v>0</v>
      </c>
      <c r="D60" s="13">
        <v>0</v>
      </c>
      <c r="E60" s="13">
        <v>0</v>
      </c>
      <c r="F60" s="13">
        <v>0</v>
      </c>
      <c r="G60" s="12">
        <f>2*(-1*INDEX('Desconto Processos'!$H$5:$J$32,MATCH(180-$A60,'Desconto Processos'!$A$5:$A$32,0),MATCH(G$41,'Desconto Processos'!$H$3:$J$3,0))+INDEX('Acrescimo Tangente'!$B$36:$N$63,MATCH($A60,$A$10:$A$37,0),MATCH(G$41,$B$9:$N$9,0)))</f>
        <v>7.55354387754854</v>
      </c>
      <c r="H60" s="12">
        <f>2*(-1*INDEX('Desconto Processos'!$H$5:$J$32,MATCH(180-$A60,'Desconto Processos'!$A$5:$A$32,0),MATCH(H$41,'Desconto Processos'!$H$3:$J$3,0))+INDEX('Acrescimo Tangente'!$B$36:$N$63,MATCH($A60,$A$10:$A$37,0),MATCH(H$41,$B$9:$N$9,0)))</f>
        <v>7.7141889521167801</v>
      </c>
      <c r="I60" s="13">
        <v>0</v>
      </c>
      <c r="J60" s="12">
        <f>2*(-1*INDEX('Desconto Processos'!$H$5:$J$32,MATCH(180-$A60,'Desconto Processos'!$A$5:$A$32,0),MATCH(J$41,'Desconto Processos'!$H$3:$J$3,0))+INDEX('Acrescimo Tangente'!$B$36:$N$63,MATCH($A60,$A$10:$A$37,0),MATCH(J$41,$B$9:$N$9,0)))</f>
        <v>8.4387044740944681</v>
      </c>
      <c r="K60" s="11">
        <v>0</v>
      </c>
      <c r="L60" s="11">
        <v>0</v>
      </c>
      <c r="M60" s="11">
        <v>0</v>
      </c>
      <c r="N60" s="11">
        <v>0</v>
      </c>
    </row>
    <row r="61" spans="1:14" ht="15.75" x14ac:dyDescent="0.25">
      <c r="A61" s="9">
        <v>110</v>
      </c>
      <c r="B61" s="12">
        <v>0.8</v>
      </c>
      <c r="C61" s="13">
        <v>0</v>
      </c>
      <c r="D61" s="13">
        <v>0</v>
      </c>
      <c r="E61" s="13">
        <v>0</v>
      </c>
      <c r="F61" s="13">
        <v>0</v>
      </c>
      <c r="G61" s="12">
        <f>2*(-1*INDEX('Desconto Processos'!$H$5:$J$32,MATCH(180-$A61,'Desconto Processos'!$A$5:$A$32,0),MATCH(G$41,'Desconto Processos'!$H$3:$J$3,0))+INDEX('Acrescimo Tangente'!$B$36:$N$63,MATCH($A61,$A$10:$A$37,0),MATCH(G$41,$B$9:$N$9,0)))</f>
        <v>8.6527392701179924</v>
      </c>
      <c r="H61" s="12">
        <f>2*(-1*INDEX('Desconto Processos'!$H$5:$J$32,MATCH(180-$A61,'Desconto Processos'!$A$5:$A$32,0),MATCH(H$41,'Desconto Processos'!$H$3:$J$3,0))+INDEX('Acrescimo Tangente'!$B$36:$N$63,MATCH($A61,$A$10:$A$37,0),MATCH(H$41,$B$9:$N$9,0)))</f>
        <v>8.938368871466416</v>
      </c>
      <c r="I61" s="13">
        <v>0</v>
      </c>
      <c r="J61" s="12">
        <f>2*(-1*INDEX('Desconto Processos'!$H$5:$J$32,MATCH(180-$A61,'Desconto Processos'!$A$5:$A$32,0),MATCH(J$41,'Desconto Processos'!$H$3:$J$3,0))+INDEX('Acrescimo Tangente'!$B$36:$N$63,MATCH($A61,$A$10:$A$37,0),MATCH(J$41,$B$9:$N$9,0)))</f>
        <v>9.8377760809053747</v>
      </c>
      <c r="K61" s="11">
        <v>0</v>
      </c>
      <c r="L61" s="11">
        <v>0</v>
      </c>
      <c r="M61" s="11">
        <v>0</v>
      </c>
      <c r="N61" s="11">
        <v>0</v>
      </c>
    </row>
    <row r="62" spans="1:14" ht="15.75" x14ac:dyDescent="0.25">
      <c r="A62" s="9">
        <v>115</v>
      </c>
      <c r="B62" s="12">
        <v>0.8</v>
      </c>
      <c r="C62" s="13">
        <v>0</v>
      </c>
      <c r="D62" s="13">
        <v>0</v>
      </c>
      <c r="E62" s="13">
        <v>0</v>
      </c>
      <c r="F62" s="13">
        <v>0</v>
      </c>
      <c r="G62" s="12">
        <f>2*(-1*INDEX('Desconto Processos'!$H$5:$J$32,MATCH(180-$A62,'Desconto Processos'!$A$5:$A$32,0),MATCH(G$41,'Desconto Processos'!$H$3:$J$3,0))+INDEX('Acrescimo Tangente'!$B$36:$N$63,MATCH($A62,$A$10:$A$37,0),MATCH(G$41,$B$9:$N$9,0)))</f>
        <v>10.024730002021899</v>
      </c>
      <c r="H62" s="12">
        <f>2*(-1*INDEX('Desconto Processos'!$H$5:$J$32,MATCH(180-$A62,'Desconto Processos'!$A$5:$A$32,0),MATCH(H$41,'Desconto Processos'!$H$3:$J$3,0))+INDEX('Acrescimo Tangente'!$B$36:$N$63,MATCH($A62,$A$10:$A$37,0),MATCH(H$41,$B$9:$N$9,0)))</f>
        <v>10.338667117445398</v>
      </c>
      <c r="I62" s="13">
        <v>0</v>
      </c>
      <c r="J62" s="12">
        <f>2*(-1*INDEX('Desconto Processos'!$H$5:$J$32,MATCH(180-$A62,'Desconto Processos'!$A$5:$A$32,0),MATCH(J$41,'Desconto Processos'!$H$3:$J$3,0))+INDEX('Acrescimo Tangente'!$B$36:$N$63,MATCH($A62,$A$10:$A$37,0),MATCH(J$41,$B$9:$N$9,0)))</f>
        <v>11.236226925409884</v>
      </c>
      <c r="K62" s="11">
        <v>0</v>
      </c>
      <c r="L62" s="11">
        <v>0</v>
      </c>
      <c r="M62" s="11">
        <v>0</v>
      </c>
      <c r="N62" s="11">
        <v>0</v>
      </c>
    </row>
    <row r="63" spans="1:14" ht="15.75" x14ac:dyDescent="0.25">
      <c r="A63" s="9">
        <v>120</v>
      </c>
      <c r="B63" s="12">
        <v>0.8</v>
      </c>
      <c r="C63" s="13">
        <v>0</v>
      </c>
      <c r="D63" s="13">
        <v>0</v>
      </c>
      <c r="E63" s="13">
        <v>0</v>
      </c>
      <c r="F63" s="13">
        <v>0</v>
      </c>
      <c r="G63" s="12">
        <f>2*(-1*INDEX('Desconto Processos'!$H$5:$J$32,MATCH(180-$A63,'Desconto Processos'!$A$5:$A$32,0),MATCH(G$41,'Desconto Processos'!$H$3:$J$3,0))+INDEX('Acrescimo Tangente'!$B$36:$N$63,MATCH($A63,$A$10:$A$37,0),MATCH(G$41,$B$9:$N$9,0)))</f>
        <v>11.413328398716324</v>
      </c>
      <c r="H63" s="12">
        <f>2*(-1*INDEX('Desconto Processos'!$H$5:$J$32,MATCH(180-$A63,'Desconto Processos'!$A$5:$A$32,0),MATCH(H$41,'Desconto Processos'!$H$3:$J$3,0))+INDEX('Acrescimo Tangente'!$B$36:$N$63,MATCH($A63,$A$10:$A$37,0),MATCH(H$41,$B$9:$N$9,0)))</f>
        <v>11.959738560230102</v>
      </c>
      <c r="I63" s="13">
        <v>0</v>
      </c>
      <c r="J63" s="12">
        <f>2*(-1*INDEX('Desconto Processos'!$H$5:$J$32,MATCH(180-$A63,'Desconto Processos'!$A$5:$A$32,0),MATCH(J$41,'Desconto Processos'!$H$3:$J$3,0))+INDEX('Acrescimo Tangente'!$B$36:$N$63,MATCH($A63,$A$10:$A$37,0),MATCH(J$41,$B$9:$N$9,0)))</f>
        <v>12.984609690826527</v>
      </c>
      <c r="K63" s="11">
        <v>0</v>
      </c>
      <c r="L63" s="11">
        <v>0</v>
      </c>
      <c r="M63" s="11">
        <v>0</v>
      </c>
      <c r="N63" s="11">
        <v>0</v>
      </c>
    </row>
    <row r="64" spans="1:14" ht="15.75" x14ac:dyDescent="0.25">
      <c r="A64" s="9">
        <v>125</v>
      </c>
      <c r="B64" s="12">
        <v>0.8</v>
      </c>
      <c r="C64" s="13">
        <v>0</v>
      </c>
      <c r="D64" s="13">
        <v>0</v>
      </c>
      <c r="E64" s="13">
        <v>0</v>
      </c>
      <c r="F64" s="13">
        <v>0</v>
      </c>
      <c r="G64" s="12">
        <f>2*(-1*INDEX('Desconto Processos'!$H$5:$J$32,MATCH(180-$A64,'Desconto Processos'!$A$5:$A$32,0),MATCH(G$41,'Desconto Processos'!$H$3:$J$3,0))+INDEX('Acrescimo Tangente'!$B$36:$N$63,MATCH($A64,$A$10:$A$37,0),MATCH(G$41,$B$9:$N$9,0)))</f>
        <v>13.178214120500126</v>
      </c>
      <c r="H64" s="12">
        <f>2*(-1*INDEX('Desconto Processos'!$H$5:$J$32,MATCH(180-$A64,'Desconto Processos'!$A$5:$A$32,0),MATCH(H$41,'Desconto Processos'!$H$3:$J$3,0))+INDEX('Acrescimo Tangente'!$B$36:$N$63,MATCH($A64,$A$10:$A$37,0),MATCH(H$41,$B$9:$N$9,0)))</f>
        <v>13.762410545894362</v>
      </c>
      <c r="I64" s="13">
        <v>0</v>
      </c>
      <c r="J64" s="12">
        <f>2*(-1*INDEX('Desconto Processos'!$H$5:$J$32,MATCH(180-$A64,'Desconto Processos'!$A$5:$A$32,0),MATCH(J$41,'Desconto Processos'!$H$3:$J$3,0))+INDEX('Acrescimo Tangente'!$B$36:$N$63,MATCH($A64,$A$10:$A$37,0),MATCH(J$41,$B$9:$N$9,0)))</f>
        <v>15.051785523653992</v>
      </c>
      <c r="K64" s="11">
        <v>0</v>
      </c>
      <c r="L64" s="11">
        <v>0</v>
      </c>
      <c r="M64" s="11">
        <v>0</v>
      </c>
      <c r="N64" s="11">
        <v>0</v>
      </c>
    </row>
    <row r="65" spans="1:14" ht="15.75" x14ac:dyDescent="0.25">
      <c r="A65" s="9">
        <v>130</v>
      </c>
      <c r="B65" s="12">
        <v>0.8</v>
      </c>
      <c r="C65" s="13">
        <v>0</v>
      </c>
      <c r="D65" s="13">
        <v>0</v>
      </c>
      <c r="E65" s="13">
        <v>0</v>
      </c>
      <c r="F65" s="13">
        <v>0</v>
      </c>
      <c r="G65" s="12">
        <f>2*(-1*INDEX('Desconto Processos'!$H$5:$J$32,MATCH(180-$A65,'Desconto Processos'!$A$5:$A$32,0),MATCH(G$41,'Desconto Processos'!$H$3:$J$3,0))+INDEX('Acrescimo Tangente'!$B$36:$N$63,MATCH($A65,$A$10:$A$37,0),MATCH(G$41,$B$9:$N$9,0)))</f>
        <v>15.302871973299412</v>
      </c>
      <c r="H65" s="12">
        <f>2*(-1*INDEX('Desconto Processos'!$H$5:$J$32,MATCH(180-$A65,'Desconto Processos'!$A$5:$A$32,0),MATCH(H$41,'Desconto Processos'!$H$3:$J$3,0))+INDEX('Acrescimo Tangente'!$B$36:$N$63,MATCH($A65,$A$10:$A$37,0),MATCH(H$41,$B$9:$N$9,0)))</f>
        <v>16.031773357401324</v>
      </c>
      <c r="I65" s="13">
        <v>0</v>
      </c>
      <c r="J65" s="12">
        <f>2*(-1*INDEX('Desconto Processos'!$H$5:$J$32,MATCH(180-$A65,'Desconto Processos'!$A$5:$A$32,0),MATCH(J$41,'Desconto Processos'!$H$3:$J$3,0))+INDEX('Acrescimo Tangente'!$B$36:$N$63,MATCH($A65,$A$10:$A$37,0),MATCH(J$41,$B$9:$N$9,0)))</f>
        <v>17.334083046114706</v>
      </c>
      <c r="K65" s="11">
        <v>0</v>
      </c>
      <c r="L65" s="11">
        <v>0</v>
      </c>
      <c r="M65" s="11">
        <v>0</v>
      </c>
      <c r="N65" s="11">
        <v>0</v>
      </c>
    </row>
    <row r="66" spans="1:14" ht="15.75" x14ac:dyDescent="0.25">
      <c r="A66" s="9">
        <v>135</v>
      </c>
      <c r="B66" s="12">
        <v>0.8</v>
      </c>
      <c r="C66" s="13">
        <v>0</v>
      </c>
      <c r="D66" s="13">
        <v>0</v>
      </c>
      <c r="E66" s="13">
        <v>0</v>
      </c>
      <c r="F66" s="13">
        <v>0</v>
      </c>
      <c r="G66" s="12">
        <f>2*(-1*INDEX('Desconto Processos'!$H$5:$J$32,MATCH(180-$A66,'Desconto Processos'!$A$5:$A$32,0),MATCH(G$41,'Desconto Processos'!$H$3:$J$3,0))+INDEX('Acrescimo Tangente'!$B$36:$N$63,MATCH($A66,$A$10:$A$37,0),MATCH(G$41,$B$9:$N$9,0)))</f>
        <v>17.907821048680191</v>
      </c>
      <c r="H66" s="12">
        <f>2*(-1*INDEX('Desconto Processos'!$H$5:$J$32,MATCH(180-$A66,'Desconto Processos'!$A$5:$A$32,0),MATCH(H$41,'Desconto Processos'!$H$3:$J$3,0))+INDEX('Acrescimo Tangente'!$B$36:$N$63,MATCH($A66,$A$10:$A$37,0),MATCH(H$41,$B$9:$N$9,0)))</f>
        <v>18.590663761154811</v>
      </c>
      <c r="I66" s="13">
        <v>0</v>
      </c>
      <c r="J66" s="12">
        <f>2*(-1*INDEX('Desconto Processos'!$H$5:$J$32,MATCH(180-$A66,'Desconto Processos'!$A$5:$A$32,0),MATCH(J$41,'Desconto Processos'!$H$3:$J$3,0))+INDEX('Acrescimo Tangente'!$B$36:$N$63,MATCH($A66,$A$10:$A$37,0),MATCH(J$41,$B$9:$N$9,0)))</f>
        <v>20.170562748477138</v>
      </c>
      <c r="K66" s="11">
        <v>0</v>
      </c>
      <c r="L66" s="11">
        <v>0</v>
      </c>
      <c r="M66" s="11">
        <v>0</v>
      </c>
      <c r="N66" s="11">
        <v>0</v>
      </c>
    </row>
    <row r="67" spans="1:14" ht="15.75" x14ac:dyDescent="0.25">
      <c r="A67" s="9">
        <v>140</v>
      </c>
      <c r="B67" s="12">
        <v>0.8</v>
      </c>
      <c r="C67" s="13">
        <v>0</v>
      </c>
      <c r="D67" s="13">
        <v>0</v>
      </c>
      <c r="E67" s="13">
        <v>0</v>
      </c>
      <c r="F67" s="13">
        <v>0</v>
      </c>
      <c r="G67" s="12">
        <f>2*(-1*INDEX('Desconto Processos'!$H$5:$J$32,MATCH(180-$A67,'Desconto Processos'!$A$5:$A$32,0),MATCH(G$41,'Desconto Processos'!$H$3:$J$3,0))+INDEX('Acrescimo Tangente'!$B$36:$N$63,MATCH($A67,$A$10:$A$37,0),MATCH(G$41,$B$9:$N$9,0)))</f>
        <v>21.273765162328075</v>
      </c>
      <c r="H67" s="12">
        <f>2*(-1*INDEX('Desconto Processos'!$H$5:$J$32,MATCH(180-$A67,'Desconto Processos'!$A$5:$A$32,0),MATCH(H$41,'Desconto Processos'!$H$3:$J$3,0))+INDEX('Acrescimo Tangente'!$B$36:$N$63,MATCH($A67,$A$10:$A$37,0),MATCH(H$41,$B$9:$N$9,0)))</f>
        <v>21.923260646218999</v>
      </c>
      <c r="I67" s="13">
        <v>0</v>
      </c>
      <c r="J67" s="12">
        <f>2*(-1*INDEX('Desconto Processos'!$H$5:$J$32,MATCH(180-$A67,'Desconto Processos'!$A$5:$A$32,0),MATCH(J$41,'Desconto Processos'!$H$3:$J$3,0))+INDEX('Acrescimo Tangente'!$B$36:$N$63,MATCH($A67,$A$10:$A$37,0),MATCH(J$41,$B$9:$N$9,0)))</f>
        <v>23.869729033455467</v>
      </c>
      <c r="K67" s="11">
        <v>0</v>
      </c>
      <c r="L67" s="11">
        <v>0</v>
      </c>
      <c r="M67" s="11">
        <v>0</v>
      </c>
      <c r="N67" s="11">
        <v>0</v>
      </c>
    </row>
    <row r="68" spans="1:14" ht="15.75" x14ac:dyDescent="0.25">
      <c r="A68" s="9">
        <v>145</v>
      </c>
      <c r="B68" s="12">
        <v>0.8</v>
      </c>
      <c r="C68" s="13">
        <v>0</v>
      </c>
      <c r="D68" s="13">
        <v>0</v>
      </c>
      <c r="E68" s="13">
        <v>0</v>
      </c>
      <c r="F68" s="13">
        <v>0</v>
      </c>
      <c r="G68" s="12">
        <f>2*(-1*INDEX('Desconto Processos'!$H$5:$J$32,MATCH(180-$A68,'Desconto Processos'!$A$5:$A$32,0),MATCH(G$41,'Desconto Processos'!$H$3:$J$3,0))+INDEX('Acrescimo Tangente'!$B$36:$N$63,MATCH($A68,$A$10:$A$37,0),MATCH(G$41,$B$9:$N$9,0)))</f>
        <v>25.584585944577409</v>
      </c>
      <c r="H68" s="12">
        <f>2*(-1*INDEX('Desconto Processos'!$H$5:$J$32,MATCH(180-$A68,'Desconto Processos'!$A$5:$A$32,0),MATCH(H$41,'Desconto Processos'!$H$3:$J$3,0))+INDEX('Acrescimo Tangente'!$B$36:$N$63,MATCH($A68,$A$10:$A$37,0),MATCH(H$41,$B$9:$N$9,0)))</f>
        <v>26.118904905050059</v>
      </c>
      <c r="I68" s="13">
        <v>0</v>
      </c>
      <c r="J68" s="12">
        <f>2*(-1*INDEX('Desconto Processos'!$H$5:$J$32,MATCH(180-$A68,'Desconto Processos'!$A$5:$A$32,0),MATCH(J$41,'Desconto Processos'!$H$3:$J$3,0))+INDEX('Acrescimo Tangente'!$B$36:$N$63,MATCH($A68,$A$10:$A$37,0),MATCH(J$41,$B$9:$N$9,0)))</f>
        <v>28.559137628358553</v>
      </c>
      <c r="K68" s="11">
        <v>0</v>
      </c>
      <c r="L68" s="11">
        <v>0</v>
      </c>
      <c r="M68" s="11">
        <v>0</v>
      </c>
      <c r="N68" s="11">
        <v>0</v>
      </c>
    </row>
    <row r="69" spans="1:14" ht="15.75" x14ac:dyDescent="0.25">
      <c r="A69" s="9">
        <v>150</v>
      </c>
      <c r="B69" s="12">
        <v>0.8</v>
      </c>
      <c r="C69" s="13">
        <v>0</v>
      </c>
      <c r="D69" s="13">
        <v>0</v>
      </c>
      <c r="E69" s="13">
        <v>0</v>
      </c>
      <c r="F69" s="13">
        <v>0</v>
      </c>
      <c r="G69" s="12">
        <f>2*(-1*INDEX('Desconto Processos'!$H$5:$J$32,MATCH(180-$A69,'Desconto Processos'!$A$5:$A$32,0),MATCH(G$41,'Desconto Processos'!$H$3:$J$3,0))+INDEX('Acrescimo Tangente'!$B$36:$N$63,MATCH($A69,$A$10:$A$37,0),MATCH(G$41,$B$9:$N$9,0)))</f>
        <v>31.213328398716328</v>
      </c>
      <c r="H69" s="12">
        <f>2*(-1*INDEX('Desconto Processos'!$H$5:$J$32,MATCH(180-$A69,'Desconto Processos'!$A$5:$A$32,0),MATCH(H$41,'Desconto Processos'!$H$3:$J$3,0))+INDEX('Acrescimo Tangente'!$B$36:$N$63,MATCH($A69,$A$10:$A$37,0),MATCH(H$41,$B$9:$N$9,0)))</f>
        <v>31.759738560230105</v>
      </c>
      <c r="I69" s="13">
        <v>0</v>
      </c>
      <c r="J69" s="12">
        <f>2*(-1*INDEX('Desconto Processos'!$H$5:$J$32,MATCH(180-$A69,'Desconto Processos'!$A$5:$A$32,0),MATCH(J$41,'Desconto Processos'!$H$3:$J$3,0))+INDEX('Acrescimo Tangente'!$B$36:$N$63,MATCH($A69,$A$10:$A$37,0),MATCH(J$41,$B$9:$N$9,0)))</f>
        <v>34.984609690826531</v>
      </c>
      <c r="K69" s="11">
        <v>0</v>
      </c>
      <c r="L69" s="11">
        <v>0</v>
      </c>
      <c r="M69" s="11">
        <v>0</v>
      </c>
      <c r="N69" s="11">
        <v>0</v>
      </c>
    </row>
    <row r="70" spans="1:14" ht="15.75" thickBot="1" x14ac:dyDescent="0.3"/>
    <row r="71" spans="1:14" ht="16.5" thickBot="1" x14ac:dyDescent="0.3">
      <c r="A71" s="6" t="s">
        <v>6</v>
      </c>
      <c r="B71" s="7">
        <v>4</v>
      </c>
      <c r="C71" s="5"/>
      <c r="D71" s="5"/>
      <c r="E71" s="5"/>
      <c r="F71" s="5"/>
      <c r="G71" s="5"/>
      <c r="H71" s="5"/>
      <c r="I71" s="5"/>
      <c r="J71" s="5"/>
    </row>
    <row r="72" spans="1:14" ht="16.5" thickBot="1" x14ac:dyDescent="0.3">
      <c r="A72" s="62" t="s">
        <v>7</v>
      </c>
      <c r="B72" s="64" t="s">
        <v>8</v>
      </c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6"/>
    </row>
    <row r="73" spans="1:14" ht="16.5" thickBot="1" x14ac:dyDescent="0.3">
      <c r="A73" s="63"/>
      <c r="B73" s="8">
        <v>0.5</v>
      </c>
      <c r="C73" s="8">
        <v>1.3</v>
      </c>
      <c r="D73" s="8">
        <v>1.4</v>
      </c>
      <c r="E73" s="8">
        <v>1.5</v>
      </c>
      <c r="F73" s="8">
        <v>1.6</v>
      </c>
      <c r="G73" s="8">
        <v>2</v>
      </c>
      <c r="H73" s="8">
        <v>2.1</v>
      </c>
      <c r="I73" s="8">
        <v>2.5</v>
      </c>
      <c r="J73" s="8">
        <v>2.8</v>
      </c>
      <c r="K73" s="14">
        <v>3.2</v>
      </c>
      <c r="L73" s="15">
        <v>3.3</v>
      </c>
      <c r="M73" s="8">
        <v>4</v>
      </c>
      <c r="N73" s="8">
        <v>4.2</v>
      </c>
    </row>
    <row r="74" spans="1:14" ht="15.75" x14ac:dyDescent="0.25">
      <c r="A74" s="9">
        <v>15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2">
        <f>2*(-1*INDEX('Desconto Processos'!$K$5:$L$32,MATCH(180-$A74,'Desconto Processos'!$A$5:$A$32,0),MATCH(K$73,'Desconto Processos'!$K$3:$L$3,0)))</f>
        <v>1</v>
      </c>
      <c r="L74" s="16">
        <f>2*(-1*INDEX('Desconto Processos'!$K$5:$L$32,MATCH(180-$A74,'Desconto Processos'!$A$5:$A$32,0),MATCH(L$73,'Desconto Processos'!$K$3:$L$3,0)))</f>
        <v>1.1000000000000001</v>
      </c>
      <c r="M74" s="11">
        <v>0</v>
      </c>
      <c r="N74" s="11">
        <v>0</v>
      </c>
    </row>
    <row r="75" spans="1:14" ht="15.75" x14ac:dyDescent="0.25">
      <c r="A75" s="9">
        <v>20</v>
      </c>
      <c r="B75" s="11">
        <v>0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3">
        <f>2*(-1*INDEX('Desconto Processos'!$K$5:$L$32,MATCH(180-$A75,'Desconto Processos'!$A$5:$A$32,0),MATCH(K$73,'Desconto Processos'!$K$3:$L$3,0)))</f>
        <v>0</v>
      </c>
      <c r="L75" s="13">
        <f>2*(-1*INDEX('Desconto Processos'!$K$5:$L$32,MATCH(180-$A75,'Desconto Processos'!$A$5:$A$32,0),MATCH(L$73,'Desconto Processos'!$K$3:$L$3,0)))</f>
        <v>0</v>
      </c>
      <c r="M75" s="11">
        <v>0</v>
      </c>
      <c r="N75" s="11">
        <v>0</v>
      </c>
    </row>
    <row r="76" spans="1:14" ht="15.75" x14ac:dyDescent="0.25">
      <c r="A76" s="9">
        <v>25</v>
      </c>
      <c r="B76" s="11">
        <v>0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3">
        <f>2*(-1*INDEX('Desconto Processos'!$K$5:$L$32,MATCH(180-$A76,'Desconto Processos'!$A$5:$A$32,0),MATCH(K$73,'Desconto Processos'!$K$3:$L$3,0)))</f>
        <v>0</v>
      </c>
      <c r="L76" s="13">
        <f>2*(-1*INDEX('Desconto Processos'!$K$5:$L$32,MATCH(180-$A76,'Desconto Processos'!$A$5:$A$32,0),MATCH(L$73,'Desconto Processos'!$K$3:$L$3,0)))</f>
        <v>0</v>
      </c>
      <c r="M76" s="11">
        <v>0</v>
      </c>
      <c r="N76" s="11">
        <v>0</v>
      </c>
    </row>
    <row r="77" spans="1:14" ht="15.75" x14ac:dyDescent="0.25">
      <c r="A77" s="9">
        <v>30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2">
        <f>2*(-1*INDEX('Desconto Processos'!$K$5:$L$32,MATCH(180-$A77,'Desconto Processos'!$A$5:$A$32,0),MATCH(K$73,'Desconto Processos'!$K$3:$L$3,0)))</f>
        <v>1.3</v>
      </c>
      <c r="L77" s="16">
        <f>2*(-1*INDEX('Desconto Processos'!$K$5:$L$32,MATCH(180-$A77,'Desconto Processos'!$A$5:$A$32,0),MATCH(L$73,'Desconto Processos'!$K$3:$L$3,0)))</f>
        <v>1.5</v>
      </c>
      <c r="M77" s="11">
        <v>0</v>
      </c>
      <c r="N77" s="11">
        <v>0</v>
      </c>
    </row>
    <row r="78" spans="1:14" ht="15.75" x14ac:dyDescent="0.25">
      <c r="A78" s="9">
        <v>35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3">
        <f>2*(-1*INDEX('Desconto Processos'!$K$5:$L$32,MATCH(180-$A78,'Desconto Processos'!$A$5:$A$32,0),MATCH(K$73,'Desconto Processos'!$K$3:$L$3,0)))</f>
        <v>0</v>
      </c>
      <c r="L78" s="13">
        <f>2*(-1*INDEX('Desconto Processos'!$K$5:$L$32,MATCH(180-$A78,'Desconto Processos'!$A$5:$A$32,0),MATCH(L$73,'Desconto Processos'!$K$3:$L$3,0)))</f>
        <v>0</v>
      </c>
      <c r="M78" s="11">
        <v>0</v>
      </c>
      <c r="N78" s="11">
        <v>0</v>
      </c>
    </row>
    <row r="79" spans="1:14" ht="15.75" x14ac:dyDescent="0.25">
      <c r="A79" s="9">
        <v>40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3">
        <f>2*(-1*INDEX('Desconto Processos'!$K$5:$L$32,MATCH(180-$A79,'Desconto Processos'!$A$5:$A$32,0),MATCH(K$73,'Desconto Processos'!$K$3:$L$3,0)))</f>
        <v>0</v>
      </c>
      <c r="L79" s="13">
        <f>2*(-1*INDEX('Desconto Processos'!$K$5:$L$32,MATCH(180-$A79,'Desconto Processos'!$A$5:$A$32,0),MATCH(L$73,'Desconto Processos'!$K$3:$L$3,0)))</f>
        <v>0</v>
      </c>
      <c r="M79" s="11">
        <v>0</v>
      </c>
      <c r="N79" s="11">
        <v>0</v>
      </c>
    </row>
    <row r="80" spans="1:14" ht="15.75" x14ac:dyDescent="0.25">
      <c r="A80" s="9">
        <v>45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2">
        <f>2*(-1*INDEX('Desconto Processos'!$K$5:$L$32,MATCH(180-$A80,'Desconto Processos'!$A$5:$A$32,0),MATCH(K$73,'Desconto Processos'!$K$3:$L$3,0)))</f>
        <v>2.2000000000000002</v>
      </c>
      <c r="L80" s="16">
        <f>2*(-1*INDEX('Desconto Processos'!$K$5:$L$32,MATCH(180-$A80,'Desconto Processos'!$A$5:$A$32,0),MATCH(L$73,'Desconto Processos'!$K$3:$L$3,0)))</f>
        <v>2.4</v>
      </c>
      <c r="M80" s="11">
        <v>0</v>
      </c>
      <c r="N80" s="11">
        <v>0</v>
      </c>
    </row>
    <row r="81" spans="1:14" ht="15.75" x14ac:dyDescent="0.25">
      <c r="A81" s="9">
        <v>50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3">
        <f>2*(-1*INDEX('Desconto Processos'!$K$5:$L$32,MATCH(180-$A81,'Desconto Processos'!$A$5:$A$32,0),MATCH(K$73,'Desconto Processos'!$K$3:$L$3,0)))</f>
        <v>0</v>
      </c>
      <c r="L81" s="13">
        <f>2*(-1*INDEX('Desconto Processos'!$K$5:$L$32,MATCH(180-$A81,'Desconto Processos'!$A$5:$A$32,0),MATCH(L$73,'Desconto Processos'!$K$3:$L$3,0)))</f>
        <v>0</v>
      </c>
      <c r="M81" s="11">
        <v>0</v>
      </c>
      <c r="N81" s="11">
        <v>0</v>
      </c>
    </row>
    <row r="82" spans="1:14" ht="15.75" x14ac:dyDescent="0.25">
      <c r="A82" s="9">
        <v>55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3">
        <f>2*(-1*INDEX('Desconto Processos'!$K$5:$L$32,MATCH(180-$A82,'Desconto Processos'!$A$5:$A$32,0),MATCH(K$73,'Desconto Processos'!$K$3:$L$3,0)))</f>
        <v>0</v>
      </c>
      <c r="L82" s="13">
        <f>2*(-1*INDEX('Desconto Processos'!$K$5:$L$32,MATCH(180-$A82,'Desconto Processos'!$A$5:$A$32,0),MATCH(L$73,'Desconto Processos'!$K$3:$L$3,0)))</f>
        <v>0</v>
      </c>
      <c r="M82" s="11">
        <v>0</v>
      </c>
      <c r="N82" s="11">
        <v>0</v>
      </c>
    </row>
    <row r="83" spans="1:14" ht="15.75" x14ac:dyDescent="0.25">
      <c r="A83" s="9">
        <v>60</v>
      </c>
      <c r="B83" s="11">
        <v>0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2">
        <f>2*(-1*INDEX('Desconto Processos'!$K$5:$L$32,MATCH(180-$A83,'Desconto Processos'!$A$5:$A$32,0),MATCH(K$73,'Desconto Processos'!$K$3:$L$3,0)))</f>
        <v>3.2</v>
      </c>
      <c r="L83" s="16">
        <f>2*(-1*INDEX('Desconto Processos'!$K$5:$L$32,MATCH(180-$A83,'Desconto Processos'!$A$5:$A$32,0),MATCH(L$73,'Desconto Processos'!$K$3:$L$3,0)))</f>
        <v>3.4</v>
      </c>
      <c r="M83" s="11">
        <v>0</v>
      </c>
      <c r="N83" s="11">
        <v>0</v>
      </c>
    </row>
    <row r="84" spans="1:14" ht="15.75" x14ac:dyDescent="0.25">
      <c r="A84" s="9">
        <v>65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3">
        <f>2*(-1*INDEX('Desconto Processos'!$K$5:$L$32,MATCH(180-$A84,'Desconto Processos'!$A$5:$A$32,0),MATCH(K$73,'Desconto Processos'!$K$3:$L$3,0)))</f>
        <v>0</v>
      </c>
      <c r="L84" s="13">
        <f>2*(-1*INDEX('Desconto Processos'!$K$5:$L$32,MATCH(180-$A84,'Desconto Processos'!$A$5:$A$32,0),MATCH(L$73,'Desconto Processos'!$K$3:$L$3,0)))</f>
        <v>0</v>
      </c>
      <c r="M84" s="11">
        <v>0</v>
      </c>
      <c r="N84" s="11">
        <v>0</v>
      </c>
    </row>
    <row r="85" spans="1:14" ht="15.75" x14ac:dyDescent="0.25">
      <c r="A85" s="9">
        <v>70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3">
        <f>2*(-1*INDEX('Desconto Processos'!$K$5:$L$32,MATCH(180-$A85,'Desconto Processos'!$A$5:$A$32,0),MATCH(K$73,'Desconto Processos'!$K$3:$L$3,0)))</f>
        <v>0</v>
      </c>
      <c r="L85" s="13">
        <f>2*(-1*INDEX('Desconto Processos'!$K$5:$L$32,MATCH(180-$A85,'Desconto Processos'!$A$5:$A$32,0),MATCH(L$73,'Desconto Processos'!$K$3:$L$3,0)))</f>
        <v>0</v>
      </c>
      <c r="M85" s="11">
        <v>0</v>
      </c>
      <c r="N85" s="11">
        <v>0</v>
      </c>
    </row>
    <row r="86" spans="1:14" ht="15.75" x14ac:dyDescent="0.25">
      <c r="A86" s="9">
        <v>75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2">
        <f>2*(-1*INDEX('Desconto Processos'!$K$5:$L$32,MATCH(180-$A86,'Desconto Processos'!$A$5:$A$32,0),MATCH(K$73,'Desconto Processos'!$K$3:$L$3,0)))</f>
        <v>4.7</v>
      </c>
      <c r="L86" s="16">
        <f>2*(-1*INDEX('Desconto Processos'!$K$5:$L$32,MATCH(180-$A86,'Desconto Processos'!$A$5:$A$32,0),MATCH(L$73,'Desconto Processos'!$K$3:$L$3,0)))</f>
        <v>4.8</v>
      </c>
      <c r="M86" s="11">
        <v>0</v>
      </c>
      <c r="N86" s="11">
        <v>0</v>
      </c>
    </row>
    <row r="87" spans="1:14" ht="15.75" x14ac:dyDescent="0.25">
      <c r="A87" s="9">
        <v>80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3">
        <f>2*(-1*INDEX('Desconto Processos'!$K$5:$L$32,MATCH(180-$A87,'Desconto Processos'!$A$5:$A$32,0),MATCH(K$73,'Desconto Processos'!$K$3:$L$3,0)))</f>
        <v>0</v>
      </c>
      <c r="L87" s="13">
        <f>2*(-1*INDEX('Desconto Processos'!$K$5:$L$32,MATCH(180-$A87,'Desconto Processos'!$A$5:$A$32,0),MATCH(L$73,'Desconto Processos'!$K$3:$L$3,0)))</f>
        <v>0</v>
      </c>
      <c r="M87" s="11">
        <v>0</v>
      </c>
      <c r="N87" s="11">
        <v>0</v>
      </c>
    </row>
    <row r="88" spans="1:14" ht="15.75" x14ac:dyDescent="0.25">
      <c r="A88" s="9">
        <v>85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3">
        <f>2*(-1*INDEX('Desconto Processos'!$K$5:$L$32,MATCH(180-$A88,'Desconto Processos'!$A$5:$A$32,0),MATCH(K$73,'Desconto Processos'!$K$3:$L$3,0)))</f>
        <v>0</v>
      </c>
      <c r="L88" s="13">
        <f>2*(-1*INDEX('Desconto Processos'!$K$5:$L$32,MATCH(180-$A88,'Desconto Processos'!$A$5:$A$32,0),MATCH(L$73,'Desconto Processos'!$K$3:$L$3,0)))</f>
        <v>0</v>
      </c>
      <c r="M88" s="11">
        <v>0</v>
      </c>
      <c r="N88" s="11">
        <v>0</v>
      </c>
    </row>
    <row r="89" spans="1:14" ht="15.75" x14ac:dyDescent="0.25">
      <c r="A89" s="19">
        <v>90</v>
      </c>
      <c r="B89" s="20">
        <v>0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2">
        <f>2*(-1*INDEX('Desconto Processos'!$K$5:$L$32,MATCH(180-$A89,'Desconto Processos'!$A$5:$A$32,0),MATCH(K$73,'Desconto Processos'!$K$3:$L$3,0)))</f>
        <v>6.6</v>
      </c>
      <c r="L89" s="20">
        <f>2*(-1*INDEX('Desconto Processos'!$K$5:$L$32,MATCH(180-$A89,'Desconto Processos'!$A$5:$A$32,0),MATCH(L$73,'Desconto Processos'!$K$3:$L$3,0)))</f>
        <v>6.7</v>
      </c>
      <c r="M89" s="20">
        <v>0</v>
      </c>
      <c r="N89" s="20">
        <v>0</v>
      </c>
    </row>
    <row r="90" spans="1:14" ht="15.75" x14ac:dyDescent="0.25">
      <c r="A90" s="9">
        <v>95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</row>
    <row r="91" spans="1:14" ht="15.75" x14ac:dyDescent="0.25">
      <c r="A91" s="9">
        <v>100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</row>
    <row r="92" spans="1:14" ht="15.75" x14ac:dyDescent="0.25">
      <c r="A92" s="9">
        <v>105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</row>
    <row r="93" spans="1:14" ht="15.75" x14ac:dyDescent="0.25">
      <c r="A93" s="9">
        <v>110</v>
      </c>
      <c r="B93" s="11">
        <v>0</v>
      </c>
      <c r="C93" s="11">
        <v>0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</row>
    <row r="94" spans="1:14" ht="15.75" x14ac:dyDescent="0.25">
      <c r="A94" s="9">
        <v>115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</row>
    <row r="95" spans="1:14" ht="15.75" x14ac:dyDescent="0.25">
      <c r="A95" s="9">
        <v>120</v>
      </c>
      <c r="B95" s="11">
        <v>0</v>
      </c>
      <c r="C95" s="11">
        <v>0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</row>
    <row r="96" spans="1:14" ht="15.75" x14ac:dyDescent="0.25">
      <c r="A96" s="9">
        <v>125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</row>
    <row r="97" spans="1:14" ht="15.75" x14ac:dyDescent="0.25">
      <c r="A97" s="9">
        <v>130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</row>
    <row r="98" spans="1:14" ht="15.75" x14ac:dyDescent="0.25">
      <c r="A98" s="9">
        <v>135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</row>
    <row r="99" spans="1:14" ht="15.75" x14ac:dyDescent="0.25">
      <c r="A99" s="9">
        <v>140</v>
      </c>
      <c r="B99" s="11">
        <v>0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</row>
    <row r="100" spans="1:14" ht="15.75" x14ac:dyDescent="0.25">
      <c r="A100" s="9">
        <v>145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</row>
    <row r="101" spans="1:14" ht="15.75" x14ac:dyDescent="0.25">
      <c r="A101" s="9">
        <v>150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</row>
    <row r="102" spans="1:14" ht="15.75" thickBot="1" x14ac:dyDescent="0.3"/>
    <row r="103" spans="1:14" ht="16.5" thickBot="1" x14ac:dyDescent="0.3">
      <c r="A103" s="6" t="s">
        <v>6</v>
      </c>
      <c r="B103" s="7">
        <v>5</v>
      </c>
      <c r="C103" s="5"/>
      <c r="D103" s="5"/>
      <c r="E103" s="5"/>
      <c r="F103" s="5"/>
      <c r="G103" s="5"/>
      <c r="H103" s="5"/>
      <c r="I103" s="5"/>
      <c r="J103" s="5"/>
    </row>
    <row r="104" spans="1:14" ht="16.5" thickBot="1" x14ac:dyDescent="0.3">
      <c r="A104" s="62" t="s">
        <v>7</v>
      </c>
      <c r="B104" s="64" t="s">
        <v>8</v>
      </c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6"/>
    </row>
    <row r="105" spans="1:14" ht="16.5" thickBot="1" x14ac:dyDescent="0.3">
      <c r="A105" s="63"/>
      <c r="B105" s="8">
        <v>0.5</v>
      </c>
      <c r="C105" s="8">
        <v>1.3</v>
      </c>
      <c r="D105" s="8">
        <v>1.4</v>
      </c>
      <c r="E105" s="8">
        <v>1.5</v>
      </c>
      <c r="F105" s="8">
        <v>1.6</v>
      </c>
      <c r="G105" s="8">
        <v>2</v>
      </c>
      <c r="H105" s="8">
        <v>2.1</v>
      </c>
      <c r="I105" s="8">
        <v>2.5</v>
      </c>
      <c r="J105" s="8">
        <v>2.8</v>
      </c>
      <c r="K105" s="17">
        <v>3.2</v>
      </c>
      <c r="L105" s="18">
        <v>3.3</v>
      </c>
      <c r="M105" s="15">
        <v>4</v>
      </c>
      <c r="N105" s="15">
        <v>4.2</v>
      </c>
    </row>
    <row r="106" spans="1:14" ht="15.75" x14ac:dyDescent="0.25">
      <c r="A106" s="9">
        <v>15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2">
        <f>2*(-1*INDEX('Desconto Processos'!$M$5:$N$33,MATCH(180-$A106,'Desconto Processos'!$A$5:$A$32,0),MATCH(M$105,'Desconto Processos'!$M$3:$N$3,0)))</f>
        <v>0.5</v>
      </c>
      <c r="N106" s="16">
        <f>2*(-1*INDEX('Desconto Processos'!$M$5:$N$33,MATCH(180-$A106,'Desconto Processos'!$A$5:$A$32,0),MATCH(N$105,'Desconto Processos'!$M$3:$N$3,0)))</f>
        <v>0.6</v>
      </c>
    </row>
    <row r="107" spans="1:14" ht="15.75" x14ac:dyDescent="0.25">
      <c r="A107" s="9">
        <v>20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</row>
    <row r="108" spans="1:14" ht="15.75" x14ac:dyDescent="0.25">
      <c r="A108" s="9">
        <v>25</v>
      </c>
      <c r="B108" s="11">
        <v>0</v>
      </c>
      <c r="C108" s="11">
        <v>0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</row>
    <row r="109" spans="1:14" ht="15.75" x14ac:dyDescent="0.25">
      <c r="A109" s="9">
        <v>30</v>
      </c>
      <c r="B109" s="11">
        <v>0</v>
      </c>
      <c r="C109" s="11">
        <v>0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6">
        <f>2*(-1*INDEX('Desconto Processos'!$M$5:$N$33,MATCH(180-$A109,'Desconto Processos'!$A$5:$A$32,0),MATCH(M$105,'Desconto Processos'!$M$3:$N$3,0)))</f>
        <v>1.6</v>
      </c>
      <c r="N109" s="16">
        <f>2*(-1*INDEX('Desconto Processos'!$M$5:$N$33,MATCH(180-$A109,'Desconto Processos'!$A$5:$A$32,0),MATCH(N$105,'Desconto Processos'!$M$3:$N$3,0)))</f>
        <v>1.7</v>
      </c>
    </row>
    <row r="110" spans="1:14" ht="15.75" x14ac:dyDescent="0.25">
      <c r="A110" s="9">
        <v>35</v>
      </c>
      <c r="B110" s="11">
        <v>0</v>
      </c>
      <c r="C110" s="11">
        <v>0</v>
      </c>
      <c r="D110" s="11">
        <v>0</v>
      </c>
      <c r="E110" s="11">
        <v>0</v>
      </c>
      <c r="F110" s="11">
        <v>0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</row>
    <row r="111" spans="1:14" ht="15.75" x14ac:dyDescent="0.25">
      <c r="A111" s="9">
        <v>40</v>
      </c>
      <c r="B111" s="11">
        <v>0</v>
      </c>
      <c r="C111" s="11">
        <v>0</v>
      </c>
      <c r="D111" s="11">
        <v>0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</row>
    <row r="112" spans="1:14" ht="15.75" x14ac:dyDescent="0.25">
      <c r="A112" s="9">
        <v>45</v>
      </c>
      <c r="B112" s="11">
        <v>0</v>
      </c>
      <c r="C112" s="11">
        <v>0</v>
      </c>
      <c r="D112" s="11">
        <v>0</v>
      </c>
      <c r="E112" s="11">
        <v>0</v>
      </c>
      <c r="F112" s="11">
        <v>0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6">
        <f>2*(-1*INDEX('Desconto Processos'!$M$5:$N$33,MATCH(180-$A112,'Desconto Processos'!$A$5:$A$32,0),MATCH(M$105,'Desconto Processos'!$M$3:$N$3,0)))</f>
        <v>2.5</v>
      </c>
      <c r="N112" s="16">
        <f>2*(-1*INDEX('Desconto Processos'!$M$5:$N$33,MATCH(180-$A112,'Desconto Processos'!$A$5:$A$32,0),MATCH(N$105,'Desconto Processos'!$M$3:$N$3,0)))</f>
        <v>2.6</v>
      </c>
    </row>
    <row r="113" spans="1:14" ht="15.75" x14ac:dyDescent="0.25">
      <c r="A113" s="9">
        <v>50</v>
      </c>
      <c r="B113" s="11">
        <v>0</v>
      </c>
      <c r="C113" s="11">
        <v>0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</row>
    <row r="114" spans="1:14" ht="15.75" x14ac:dyDescent="0.25">
      <c r="A114" s="9">
        <v>55</v>
      </c>
      <c r="B114" s="11">
        <v>0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</row>
    <row r="115" spans="1:14" ht="15.75" x14ac:dyDescent="0.25">
      <c r="A115" s="9">
        <v>60</v>
      </c>
      <c r="B115" s="11">
        <v>0</v>
      </c>
      <c r="C115" s="11">
        <v>0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6">
        <f>2*(-1*INDEX('Desconto Processos'!$M$5:$N$33,MATCH(180-$A115,'Desconto Processos'!$A$5:$A$32,0),MATCH(M$105,'Desconto Processos'!$M$3:$N$3,0)))</f>
        <v>4</v>
      </c>
      <c r="N115" s="16">
        <f>2*(-1*INDEX('Desconto Processos'!$M$5:$N$33,MATCH(180-$A115,'Desconto Processos'!$A$5:$A$32,0),MATCH(N$105,'Desconto Processos'!$M$3:$N$3,0)))</f>
        <v>4.2</v>
      </c>
    </row>
    <row r="116" spans="1:14" ht="15.75" x14ac:dyDescent="0.25">
      <c r="A116" s="9">
        <v>65</v>
      </c>
      <c r="B116" s="11">
        <v>0</v>
      </c>
      <c r="C116" s="11">
        <v>0</v>
      </c>
      <c r="D116" s="11">
        <v>0</v>
      </c>
      <c r="E116" s="11">
        <v>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</row>
    <row r="117" spans="1:14" ht="15.75" x14ac:dyDescent="0.25">
      <c r="A117" s="9">
        <v>70</v>
      </c>
      <c r="B117" s="11">
        <v>0</v>
      </c>
      <c r="C117" s="11">
        <v>0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</row>
    <row r="118" spans="1:14" ht="15.75" x14ac:dyDescent="0.25">
      <c r="A118" s="9">
        <v>75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6">
        <f>2*(-1*INDEX('Desconto Processos'!$M$5:$N$33,MATCH(180-$A118,'Desconto Processos'!$A$5:$A$32,0),MATCH(M$105,'Desconto Processos'!$M$3:$N$3,0)))</f>
        <v>5.6</v>
      </c>
      <c r="N118" s="16">
        <f>2*(-1*INDEX('Desconto Processos'!$M$5:$N$33,MATCH(180-$A118,'Desconto Processos'!$A$5:$A$32,0),MATCH(N$105,'Desconto Processos'!$M$3:$N$3,0)))</f>
        <v>5.8</v>
      </c>
    </row>
    <row r="119" spans="1:14" ht="15.75" x14ac:dyDescent="0.25">
      <c r="A119" s="9">
        <v>80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</row>
    <row r="120" spans="1:14" ht="15.75" x14ac:dyDescent="0.25">
      <c r="A120" s="9">
        <v>85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</row>
    <row r="121" spans="1:14" ht="15.75" x14ac:dyDescent="0.25">
      <c r="A121" s="19">
        <v>90</v>
      </c>
      <c r="B121" s="20">
        <v>0</v>
      </c>
      <c r="C121" s="20">
        <v>0</v>
      </c>
      <c r="D121" s="20">
        <v>0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f>2*(-1*INDEX('Desconto Processos'!$M$5:$N$33,MATCH(180-$A121,'Desconto Processos'!$A$5:$A$32,0),MATCH(M$105,'Desconto Processos'!$M$3:$N$3,0)))</f>
        <v>8.1999999999999993</v>
      </c>
      <c r="N121" s="20">
        <f>2*(-1*INDEX('Desconto Processos'!$M$5:$N$33,MATCH(180-$A121,'Desconto Processos'!$A$5:$A$32,0),MATCH(N$105,'Desconto Processos'!$M$3:$N$3,0)))</f>
        <v>8.3000000000000007</v>
      </c>
    </row>
    <row r="122" spans="1:14" ht="15.75" x14ac:dyDescent="0.25">
      <c r="A122" s="9">
        <v>95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</row>
    <row r="123" spans="1:14" ht="15.75" x14ac:dyDescent="0.25">
      <c r="A123" s="9">
        <v>100</v>
      </c>
      <c r="B123" s="11">
        <v>0</v>
      </c>
      <c r="C123" s="11">
        <v>0</v>
      </c>
      <c r="D123" s="11">
        <v>0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</row>
    <row r="124" spans="1:14" ht="15.75" x14ac:dyDescent="0.25">
      <c r="A124" s="9">
        <v>105</v>
      </c>
      <c r="B124" s="11">
        <v>0</v>
      </c>
      <c r="C124" s="11">
        <v>0</v>
      </c>
      <c r="D124" s="11">
        <v>0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</row>
    <row r="125" spans="1:14" ht="15.75" x14ac:dyDescent="0.25">
      <c r="A125" s="9">
        <v>110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</row>
    <row r="126" spans="1:14" ht="15.75" x14ac:dyDescent="0.25">
      <c r="A126" s="9">
        <v>115</v>
      </c>
      <c r="B126" s="11">
        <v>0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</row>
    <row r="127" spans="1:14" ht="15.75" x14ac:dyDescent="0.25">
      <c r="A127" s="9">
        <v>120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</row>
    <row r="128" spans="1:14" ht="15.75" x14ac:dyDescent="0.25">
      <c r="A128" s="9">
        <v>125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</row>
    <row r="129" spans="1:14" ht="15.75" x14ac:dyDescent="0.25">
      <c r="A129" s="9">
        <v>130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</row>
    <row r="130" spans="1:14" ht="15.75" x14ac:dyDescent="0.25">
      <c r="A130" s="9">
        <v>135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</row>
    <row r="131" spans="1:14" ht="15.75" x14ac:dyDescent="0.25">
      <c r="A131" s="9">
        <v>140</v>
      </c>
      <c r="B131" s="11">
        <v>0</v>
      </c>
      <c r="C131" s="11">
        <v>0</v>
      </c>
      <c r="D131" s="11">
        <v>0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</row>
    <row r="132" spans="1:14" ht="15.75" x14ac:dyDescent="0.25">
      <c r="A132" s="9">
        <v>145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</row>
    <row r="133" spans="1:14" ht="15.75" x14ac:dyDescent="0.25">
      <c r="A133" s="9">
        <v>150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</row>
  </sheetData>
  <mergeCells count="8">
    <mergeCell ref="A104:A105"/>
    <mergeCell ref="B104:N104"/>
    <mergeCell ref="B8:N8"/>
    <mergeCell ref="B40:N40"/>
    <mergeCell ref="B72:N72"/>
    <mergeCell ref="A8:A9"/>
    <mergeCell ref="A40:A41"/>
    <mergeCell ref="A72:A7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Q23" sqref="Q23"/>
    </sheetView>
  </sheetViews>
  <sheetFormatPr defaultRowHeight="15" x14ac:dyDescent="0.25"/>
  <cols>
    <col min="1" max="1" width="12.28515625" bestFit="1" customWidth="1"/>
  </cols>
  <sheetData>
    <row r="1" spans="1:14" x14ac:dyDescent="0.25">
      <c r="A1" s="56" t="s">
        <v>9</v>
      </c>
      <c r="B1" s="71" t="s">
        <v>10</v>
      </c>
      <c r="C1" s="72"/>
      <c r="D1" s="72"/>
      <c r="E1" s="72"/>
      <c r="F1" s="72"/>
      <c r="G1" s="73"/>
      <c r="H1" s="71" t="s">
        <v>11</v>
      </c>
      <c r="I1" s="72"/>
      <c r="J1" s="73"/>
      <c r="K1" s="74" t="s">
        <v>12</v>
      </c>
      <c r="L1" s="75"/>
      <c r="M1" s="74" t="s">
        <v>13</v>
      </c>
      <c r="N1" s="75"/>
    </row>
    <row r="2" spans="1:14" x14ac:dyDescent="0.25">
      <c r="A2" s="23" t="s">
        <v>14</v>
      </c>
      <c r="B2" s="23">
        <v>8</v>
      </c>
      <c r="C2" s="24">
        <v>10</v>
      </c>
      <c r="D2" s="25">
        <v>12</v>
      </c>
      <c r="E2" s="24">
        <v>16</v>
      </c>
      <c r="F2" s="24">
        <v>20</v>
      </c>
      <c r="G2" s="26">
        <v>24</v>
      </c>
      <c r="H2" s="23">
        <v>16</v>
      </c>
      <c r="I2" s="25">
        <v>20</v>
      </c>
      <c r="J2" s="26">
        <v>24</v>
      </c>
      <c r="K2" s="26">
        <v>20</v>
      </c>
      <c r="L2" s="27">
        <v>24</v>
      </c>
      <c r="M2" s="26">
        <v>20</v>
      </c>
      <c r="N2" s="27">
        <v>24</v>
      </c>
    </row>
    <row r="3" spans="1:14" ht="15.75" thickBot="1" x14ac:dyDescent="0.3">
      <c r="A3" s="57" t="s">
        <v>15</v>
      </c>
      <c r="B3" s="31">
        <v>1.3</v>
      </c>
      <c r="C3" s="32">
        <v>1.4</v>
      </c>
      <c r="D3" s="33">
        <v>1.5</v>
      </c>
      <c r="E3" s="32">
        <v>1.6</v>
      </c>
      <c r="F3" s="32">
        <v>2.1</v>
      </c>
      <c r="G3" s="34">
        <v>2.5</v>
      </c>
      <c r="H3" s="31">
        <v>2</v>
      </c>
      <c r="I3" s="33">
        <v>2.1</v>
      </c>
      <c r="J3" s="34">
        <v>2.8</v>
      </c>
      <c r="K3" s="34">
        <v>3.2</v>
      </c>
      <c r="L3" s="35">
        <v>3.3</v>
      </c>
      <c r="M3" s="29">
        <v>4</v>
      </c>
      <c r="N3" s="30">
        <v>4.2</v>
      </c>
    </row>
    <row r="4" spans="1:14" ht="15.75" thickBot="1" x14ac:dyDescent="0.3">
      <c r="A4" s="58" t="s">
        <v>16</v>
      </c>
      <c r="B4" s="68" t="s">
        <v>17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70"/>
    </row>
    <row r="5" spans="1:14" x14ac:dyDescent="0.25">
      <c r="A5" s="23">
        <v>30</v>
      </c>
      <c r="B5" s="36">
        <v>-0.8</v>
      </c>
      <c r="C5" s="37">
        <v>-0.8</v>
      </c>
      <c r="D5" s="38">
        <v>-0.85</v>
      </c>
      <c r="E5" s="37">
        <v>-0.7</v>
      </c>
      <c r="F5" s="37">
        <v>-0.55000000000000004</v>
      </c>
      <c r="G5" s="39">
        <v>-0.4</v>
      </c>
      <c r="H5" s="36">
        <v>-1.4</v>
      </c>
      <c r="I5" s="38">
        <v>-1.4</v>
      </c>
      <c r="J5" s="39">
        <v>-1.1000000000000001</v>
      </c>
      <c r="K5" s="39"/>
      <c r="L5" s="40"/>
      <c r="M5" s="39"/>
      <c r="N5" s="40"/>
    </row>
    <row r="6" spans="1:14" x14ac:dyDescent="0.25">
      <c r="A6" s="57">
        <v>35</v>
      </c>
      <c r="B6" s="41">
        <v>-0.9</v>
      </c>
      <c r="C6" s="42">
        <v>-0.9</v>
      </c>
      <c r="D6" s="43">
        <v>-0.95</v>
      </c>
      <c r="E6" s="42">
        <v>-0.8</v>
      </c>
      <c r="F6" s="42">
        <v>-0.65</v>
      </c>
      <c r="G6" s="44">
        <v>-0.5</v>
      </c>
      <c r="H6" s="41">
        <v>-1.5</v>
      </c>
      <c r="I6" s="43">
        <v>-1.55</v>
      </c>
      <c r="J6" s="44">
        <v>-1.25</v>
      </c>
      <c r="K6" s="44"/>
      <c r="L6" s="45"/>
      <c r="M6" s="44"/>
      <c r="N6" s="45"/>
    </row>
    <row r="7" spans="1:14" x14ac:dyDescent="0.25">
      <c r="A7" s="23">
        <v>40</v>
      </c>
      <c r="B7" s="46">
        <v>-1</v>
      </c>
      <c r="C7" s="47">
        <v>-1</v>
      </c>
      <c r="D7" s="43">
        <v>-1.05</v>
      </c>
      <c r="E7" s="47">
        <v>-0.9</v>
      </c>
      <c r="F7" s="47">
        <v>-0.75</v>
      </c>
      <c r="G7" s="48">
        <v>-0.6</v>
      </c>
      <c r="H7" s="46">
        <v>-1.55</v>
      </c>
      <c r="I7" s="43">
        <v>-1.7</v>
      </c>
      <c r="J7" s="48">
        <v>-1.45</v>
      </c>
      <c r="K7" s="48"/>
      <c r="L7" s="45"/>
      <c r="M7" s="48"/>
      <c r="N7" s="45"/>
    </row>
    <row r="8" spans="1:14" x14ac:dyDescent="0.25">
      <c r="A8" s="57">
        <v>45</v>
      </c>
      <c r="B8" s="41">
        <v>-1.1000000000000001</v>
      </c>
      <c r="C8" s="42">
        <v>-1.1000000000000001</v>
      </c>
      <c r="D8" s="43">
        <v>-1.1499999999999999</v>
      </c>
      <c r="E8" s="42">
        <v>-1</v>
      </c>
      <c r="F8" s="42">
        <v>-0.85</v>
      </c>
      <c r="G8" s="44">
        <v>-0.7</v>
      </c>
      <c r="H8" s="41">
        <v>-1.6</v>
      </c>
      <c r="I8" s="43">
        <v>-1.8</v>
      </c>
      <c r="J8" s="44">
        <v>-1.6</v>
      </c>
      <c r="K8" s="44"/>
      <c r="L8" s="45"/>
      <c r="M8" s="44"/>
      <c r="N8" s="45"/>
    </row>
    <row r="9" spans="1:14" x14ac:dyDescent="0.25">
      <c r="A9" s="23">
        <v>50</v>
      </c>
      <c r="B9" s="46">
        <v>-1.2</v>
      </c>
      <c r="C9" s="47">
        <v>-1.1499999999999999</v>
      </c>
      <c r="D9" s="43">
        <v>-1.2</v>
      </c>
      <c r="E9" s="47">
        <v>-1.1000000000000001</v>
      </c>
      <c r="F9" s="47">
        <v>-0.95</v>
      </c>
      <c r="G9" s="48">
        <v>-0.85</v>
      </c>
      <c r="H9" s="46">
        <v>-1.7</v>
      </c>
      <c r="I9" s="43">
        <v>-1.95</v>
      </c>
      <c r="J9" s="48">
        <v>-1.8</v>
      </c>
      <c r="K9" s="48"/>
      <c r="L9" s="45"/>
      <c r="M9" s="48"/>
      <c r="N9" s="45"/>
    </row>
    <row r="10" spans="1:14" x14ac:dyDescent="0.25">
      <c r="A10" s="57">
        <v>55</v>
      </c>
      <c r="B10" s="41">
        <v>-1.25</v>
      </c>
      <c r="C10" s="42">
        <v>-1.25</v>
      </c>
      <c r="D10" s="43">
        <v>-1.3</v>
      </c>
      <c r="E10" s="42">
        <v>-1.2</v>
      </c>
      <c r="F10" s="42">
        <v>-1.05</v>
      </c>
      <c r="G10" s="44">
        <v>-1</v>
      </c>
      <c r="H10" s="41">
        <v>-1.8</v>
      </c>
      <c r="I10" s="43">
        <v>-2</v>
      </c>
      <c r="J10" s="44">
        <v>-2</v>
      </c>
      <c r="K10" s="44"/>
      <c r="L10" s="45"/>
      <c r="M10" s="44"/>
      <c r="N10" s="45"/>
    </row>
    <row r="11" spans="1:14" x14ac:dyDescent="0.25">
      <c r="A11" s="23">
        <v>60</v>
      </c>
      <c r="B11" s="46">
        <v>-1.3</v>
      </c>
      <c r="C11" s="47">
        <v>-1.35</v>
      </c>
      <c r="D11" s="43">
        <v>-1.35</v>
      </c>
      <c r="E11" s="47">
        <v>-1.3</v>
      </c>
      <c r="F11" s="47">
        <v>-1.2</v>
      </c>
      <c r="G11" s="48">
        <v>-1.2</v>
      </c>
      <c r="H11" s="46">
        <v>-1.9</v>
      </c>
      <c r="I11" s="43">
        <v>-2.1</v>
      </c>
      <c r="J11" s="48">
        <v>-2.1</v>
      </c>
      <c r="K11" s="48"/>
      <c r="L11" s="45"/>
      <c r="M11" s="48"/>
      <c r="N11" s="45"/>
    </row>
    <row r="12" spans="1:14" x14ac:dyDescent="0.25">
      <c r="A12" s="57">
        <v>65</v>
      </c>
      <c r="B12" s="41">
        <v>-1.4</v>
      </c>
      <c r="C12" s="42">
        <v>-1.4</v>
      </c>
      <c r="D12" s="43">
        <v>-1.45</v>
      </c>
      <c r="E12" s="42">
        <v>-1.4</v>
      </c>
      <c r="F12" s="42">
        <v>-1.35</v>
      </c>
      <c r="G12" s="44">
        <v>-1.3</v>
      </c>
      <c r="H12" s="41">
        <v>-2.0499999999999998</v>
      </c>
      <c r="I12" s="43">
        <v>-2.15</v>
      </c>
      <c r="J12" s="44">
        <v>-2.2000000000000002</v>
      </c>
      <c r="K12" s="44"/>
      <c r="L12" s="45"/>
      <c r="M12" s="44"/>
      <c r="N12" s="45"/>
    </row>
    <row r="13" spans="1:14" x14ac:dyDescent="0.25">
      <c r="A13" s="23">
        <v>70</v>
      </c>
      <c r="B13" s="46">
        <v>-1.5</v>
      </c>
      <c r="C13" s="47">
        <v>-1.45</v>
      </c>
      <c r="D13" s="43">
        <v>-1.55</v>
      </c>
      <c r="E13" s="47">
        <v>-1.55</v>
      </c>
      <c r="F13" s="47">
        <v>-1.5</v>
      </c>
      <c r="G13" s="48">
        <v>-1.45</v>
      </c>
      <c r="H13" s="46">
        <v>-2.1</v>
      </c>
      <c r="I13" s="43">
        <v>-2.2000000000000002</v>
      </c>
      <c r="J13" s="48">
        <v>-2.35</v>
      </c>
      <c r="K13" s="48"/>
      <c r="L13" s="45"/>
      <c r="M13" s="48"/>
      <c r="N13" s="45"/>
    </row>
    <row r="14" spans="1:14" x14ac:dyDescent="0.25">
      <c r="A14" s="57">
        <v>75</v>
      </c>
      <c r="B14" s="41">
        <v>-1.55</v>
      </c>
      <c r="C14" s="42">
        <v>-1.5</v>
      </c>
      <c r="D14" s="43">
        <v>-1.6</v>
      </c>
      <c r="E14" s="42">
        <v>-1.6</v>
      </c>
      <c r="F14" s="42">
        <v>-1.6</v>
      </c>
      <c r="G14" s="44">
        <v>-1.6</v>
      </c>
      <c r="H14" s="41">
        <v>-2.2000000000000002</v>
      </c>
      <c r="I14" s="43">
        <v>-2.25</v>
      </c>
      <c r="J14" s="44">
        <v>-2.4</v>
      </c>
      <c r="K14" s="44"/>
      <c r="L14" s="45"/>
      <c r="M14" s="44"/>
      <c r="N14" s="45"/>
    </row>
    <row r="15" spans="1:14" x14ac:dyDescent="0.25">
      <c r="A15" s="23">
        <v>80</v>
      </c>
      <c r="B15" s="46">
        <v>-1.6</v>
      </c>
      <c r="C15" s="47">
        <v>-1.55</v>
      </c>
      <c r="D15" s="43">
        <v>-1.65</v>
      </c>
      <c r="E15" s="47">
        <v>-1.65</v>
      </c>
      <c r="F15" s="47">
        <v>-1.7</v>
      </c>
      <c r="G15" s="48">
        <v>-1.7</v>
      </c>
      <c r="H15" s="46">
        <v>-2.2999999999999998</v>
      </c>
      <c r="I15" s="43">
        <v>-2.35</v>
      </c>
      <c r="J15" s="48">
        <v>-2.5</v>
      </c>
      <c r="K15" s="48"/>
      <c r="L15" s="45"/>
      <c r="M15" s="48"/>
      <c r="N15" s="45"/>
    </row>
    <row r="16" spans="1:14" x14ac:dyDescent="0.25">
      <c r="A16" s="57">
        <v>85</v>
      </c>
      <c r="B16" s="41">
        <v>-1.65</v>
      </c>
      <c r="C16" s="42">
        <v>-1.65</v>
      </c>
      <c r="D16" s="43">
        <v>-1.7</v>
      </c>
      <c r="E16" s="42">
        <v>-1.7</v>
      </c>
      <c r="F16" s="42">
        <v>-1.75</v>
      </c>
      <c r="G16" s="44">
        <v>-1.8</v>
      </c>
      <c r="H16" s="41">
        <v>-2.4</v>
      </c>
      <c r="I16" s="43">
        <v>-2.4500000000000002</v>
      </c>
      <c r="J16" s="44">
        <v>-2.6</v>
      </c>
      <c r="K16" s="44"/>
      <c r="L16" s="45"/>
      <c r="M16" s="44"/>
      <c r="N16" s="45"/>
    </row>
    <row r="17" spans="1:14" x14ac:dyDescent="0.25">
      <c r="A17" s="59">
        <v>90</v>
      </c>
      <c r="B17" s="49">
        <v>-1.7</v>
      </c>
      <c r="C17" s="43">
        <v>-1.75</v>
      </c>
      <c r="D17" s="43">
        <v>-1.75</v>
      </c>
      <c r="E17" s="43">
        <v>-1.8</v>
      </c>
      <c r="F17" s="43">
        <v>-1.85</v>
      </c>
      <c r="G17" s="50">
        <v>-1.9</v>
      </c>
      <c r="H17" s="49">
        <v>-2.5</v>
      </c>
      <c r="I17" s="43">
        <v>-2.6</v>
      </c>
      <c r="J17" s="50">
        <v>-2.7</v>
      </c>
      <c r="K17" s="49">
        <v>-3.3</v>
      </c>
      <c r="L17" s="45">
        <v>-3.35</v>
      </c>
      <c r="M17" s="49">
        <v>-4.0999999999999996</v>
      </c>
      <c r="N17" s="45">
        <v>-4.1500000000000004</v>
      </c>
    </row>
    <row r="18" spans="1:14" x14ac:dyDescent="0.25">
      <c r="A18" s="57">
        <v>95</v>
      </c>
      <c r="B18" s="41">
        <v>-1.55</v>
      </c>
      <c r="C18" s="42">
        <v>-1.6</v>
      </c>
      <c r="D18" s="43">
        <v>-1.65</v>
      </c>
      <c r="E18" s="42">
        <v>-1.7</v>
      </c>
      <c r="F18" s="42">
        <v>-1.75</v>
      </c>
      <c r="G18" s="44">
        <v>-1.7</v>
      </c>
      <c r="H18" s="41">
        <v>-2.25</v>
      </c>
      <c r="I18" s="43">
        <v>-2.4500000000000002</v>
      </c>
      <c r="J18" s="44">
        <v>-2.5499999999999998</v>
      </c>
      <c r="K18" s="44"/>
      <c r="L18" s="45"/>
      <c r="M18" s="44"/>
      <c r="N18" s="45"/>
    </row>
    <row r="19" spans="1:14" x14ac:dyDescent="0.25">
      <c r="A19" s="23">
        <v>100</v>
      </c>
      <c r="B19" s="46">
        <v>-1.35</v>
      </c>
      <c r="C19" s="47">
        <v>-1.45</v>
      </c>
      <c r="D19" s="43">
        <v>-1.5</v>
      </c>
      <c r="E19" s="47">
        <v>-1.55</v>
      </c>
      <c r="F19" s="47">
        <v>-1.5</v>
      </c>
      <c r="G19" s="48">
        <v>-1.55</v>
      </c>
      <c r="H19" s="46">
        <v>-2.0499999999999998</v>
      </c>
      <c r="I19" s="43">
        <v>-2.25</v>
      </c>
      <c r="J19" s="48">
        <v>-2.2999999999999998</v>
      </c>
      <c r="K19" s="48"/>
      <c r="L19" s="45"/>
      <c r="M19" s="48"/>
      <c r="N19" s="45"/>
    </row>
    <row r="20" spans="1:14" x14ac:dyDescent="0.25">
      <c r="A20" s="57">
        <v>105</v>
      </c>
      <c r="B20" s="41">
        <v>-1.25</v>
      </c>
      <c r="C20" s="42">
        <v>-1.3</v>
      </c>
      <c r="D20" s="43">
        <v>-1.3</v>
      </c>
      <c r="E20" s="42">
        <v>-1.3</v>
      </c>
      <c r="F20" s="42">
        <v>-1.35</v>
      </c>
      <c r="G20" s="44">
        <v>-1.4</v>
      </c>
      <c r="H20" s="41">
        <v>-1.85</v>
      </c>
      <c r="I20" s="43">
        <v>-2.0499999999999998</v>
      </c>
      <c r="J20" s="44">
        <v>-2.15</v>
      </c>
      <c r="K20" s="44">
        <v>-2.35</v>
      </c>
      <c r="L20" s="45">
        <v>-2.4</v>
      </c>
      <c r="M20" s="44">
        <v>-2.8</v>
      </c>
      <c r="N20" s="45">
        <v>-2.9</v>
      </c>
    </row>
    <row r="21" spans="1:14" x14ac:dyDescent="0.25">
      <c r="A21" s="23">
        <v>110</v>
      </c>
      <c r="B21" s="46">
        <v>-1.1000000000000001</v>
      </c>
      <c r="C21" s="47">
        <v>-1.2</v>
      </c>
      <c r="D21" s="43">
        <v>-1.1499999999999999</v>
      </c>
      <c r="E21" s="47">
        <v>-1.2</v>
      </c>
      <c r="F21" s="47">
        <v>-1.25</v>
      </c>
      <c r="G21" s="48">
        <v>-1.25</v>
      </c>
      <c r="H21" s="46">
        <v>-1.7</v>
      </c>
      <c r="I21" s="43">
        <v>-1.9</v>
      </c>
      <c r="J21" s="48">
        <v>-1.85</v>
      </c>
      <c r="K21" s="48"/>
      <c r="L21" s="45"/>
      <c r="M21" s="48"/>
      <c r="N21" s="45"/>
    </row>
    <row r="22" spans="1:14" x14ac:dyDescent="0.25">
      <c r="A22" s="57">
        <v>115</v>
      </c>
      <c r="B22" s="41">
        <v>-1</v>
      </c>
      <c r="C22" s="42">
        <v>-1</v>
      </c>
      <c r="D22" s="43">
        <v>-1.05</v>
      </c>
      <c r="E22" s="42">
        <v>-1.05</v>
      </c>
      <c r="F22" s="42">
        <v>-1.1000000000000001</v>
      </c>
      <c r="G22" s="44">
        <v>-1.1000000000000001</v>
      </c>
      <c r="H22" s="41">
        <v>-1.55</v>
      </c>
      <c r="I22" s="43">
        <v>-1.65</v>
      </c>
      <c r="J22" s="44">
        <v>-1.65</v>
      </c>
      <c r="K22" s="44"/>
      <c r="L22" s="45"/>
      <c r="M22" s="44"/>
      <c r="N22" s="45"/>
    </row>
    <row r="23" spans="1:14" x14ac:dyDescent="0.25">
      <c r="A23" s="23">
        <v>120</v>
      </c>
      <c r="B23" s="46">
        <v>-0.85</v>
      </c>
      <c r="C23" s="47">
        <v>-0.9</v>
      </c>
      <c r="D23" s="43">
        <v>-0.9</v>
      </c>
      <c r="E23" s="47">
        <v>-0.95</v>
      </c>
      <c r="F23" s="47">
        <v>-0.95</v>
      </c>
      <c r="G23" s="48">
        <v>-1</v>
      </c>
      <c r="H23" s="46">
        <v>-1.3</v>
      </c>
      <c r="I23" s="43">
        <v>-1.4</v>
      </c>
      <c r="J23" s="48">
        <v>-1.4</v>
      </c>
      <c r="K23" s="48">
        <v>-1.6</v>
      </c>
      <c r="L23" s="45">
        <v>-1.7</v>
      </c>
      <c r="M23" s="48">
        <v>-2</v>
      </c>
      <c r="N23" s="45">
        <v>-2.1</v>
      </c>
    </row>
    <row r="24" spans="1:14" x14ac:dyDescent="0.25">
      <c r="A24" s="57">
        <v>125</v>
      </c>
      <c r="B24" s="41">
        <v>-0.8</v>
      </c>
      <c r="C24" s="42">
        <v>-0.8</v>
      </c>
      <c r="D24" s="43">
        <v>-0.8</v>
      </c>
      <c r="E24" s="42">
        <v>-0.85</v>
      </c>
      <c r="F24" s="42">
        <v>-0.8</v>
      </c>
      <c r="G24" s="44">
        <v>-0.85</v>
      </c>
      <c r="H24" s="41">
        <v>-1.1499999999999999</v>
      </c>
      <c r="I24" s="43">
        <v>-1.25</v>
      </c>
      <c r="J24" s="44">
        <v>-1.3</v>
      </c>
      <c r="K24" s="44"/>
      <c r="L24" s="45"/>
      <c r="M24" s="44"/>
      <c r="N24" s="45"/>
    </row>
    <row r="25" spans="1:14" x14ac:dyDescent="0.25">
      <c r="A25" s="23">
        <v>130</v>
      </c>
      <c r="B25" s="46">
        <v>-0.7</v>
      </c>
      <c r="C25" s="47">
        <v>-0.7</v>
      </c>
      <c r="D25" s="43">
        <v>-0.7</v>
      </c>
      <c r="E25" s="47">
        <v>-0.7</v>
      </c>
      <c r="F25" s="47">
        <v>-0.7</v>
      </c>
      <c r="G25" s="48">
        <v>-0.7</v>
      </c>
      <c r="H25" s="46">
        <v>-1.05</v>
      </c>
      <c r="I25" s="43">
        <v>-1.1000000000000001</v>
      </c>
      <c r="J25" s="48">
        <v>-1.1499999999999999</v>
      </c>
      <c r="K25" s="48"/>
      <c r="L25" s="45"/>
      <c r="M25" s="48"/>
      <c r="N25" s="45"/>
    </row>
    <row r="26" spans="1:14" x14ac:dyDescent="0.25">
      <c r="A26" s="57">
        <v>135</v>
      </c>
      <c r="B26" s="41">
        <v>-0.6</v>
      </c>
      <c r="C26" s="42">
        <v>-0.6</v>
      </c>
      <c r="D26" s="43">
        <v>-0.6</v>
      </c>
      <c r="E26" s="42">
        <v>-0.65</v>
      </c>
      <c r="F26" s="42">
        <v>-0.65</v>
      </c>
      <c r="G26" s="44">
        <v>-0.6</v>
      </c>
      <c r="H26" s="41">
        <v>-0.95</v>
      </c>
      <c r="I26" s="43">
        <v>-1</v>
      </c>
      <c r="J26" s="44">
        <v>-1</v>
      </c>
      <c r="K26" s="44">
        <v>-1.1000000000000001</v>
      </c>
      <c r="L26" s="45">
        <v>-1.2</v>
      </c>
      <c r="M26" s="44">
        <v>-1.25</v>
      </c>
      <c r="N26" s="45">
        <v>-1.3</v>
      </c>
    </row>
    <row r="27" spans="1:14" x14ac:dyDescent="0.25">
      <c r="A27" s="23">
        <v>140</v>
      </c>
      <c r="B27" s="46">
        <v>-0.55000000000000004</v>
      </c>
      <c r="C27" s="47">
        <v>-0.55000000000000004</v>
      </c>
      <c r="D27" s="43">
        <v>-0.5</v>
      </c>
      <c r="E27" s="47">
        <v>-0.55000000000000004</v>
      </c>
      <c r="F27" s="47">
        <v>-0.55000000000000004</v>
      </c>
      <c r="G27" s="48">
        <v>-0.5</v>
      </c>
      <c r="H27" s="46">
        <v>-0.8</v>
      </c>
      <c r="I27" s="43">
        <v>-0.9</v>
      </c>
      <c r="J27" s="48">
        <v>-0.85</v>
      </c>
      <c r="K27" s="48"/>
      <c r="L27" s="45"/>
      <c r="M27" s="48"/>
      <c r="N27" s="45"/>
    </row>
    <row r="28" spans="1:14" x14ac:dyDescent="0.25">
      <c r="A28" s="57">
        <v>145</v>
      </c>
      <c r="B28" s="41">
        <v>-0.45</v>
      </c>
      <c r="C28" s="42">
        <v>-0.4</v>
      </c>
      <c r="D28" s="43">
        <v>-0.4</v>
      </c>
      <c r="E28" s="42">
        <v>-0.5</v>
      </c>
      <c r="F28" s="42">
        <v>-0.5</v>
      </c>
      <c r="G28" s="44">
        <v>-0.45</v>
      </c>
      <c r="H28" s="41">
        <v>-0.75</v>
      </c>
      <c r="I28" s="43">
        <v>-0.75</v>
      </c>
      <c r="J28" s="44">
        <v>-0.7</v>
      </c>
      <c r="K28" s="44"/>
      <c r="L28" s="45"/>
      <c r="M28" s="44"/>
      <c r="N28" s="45"/>
    </row>
    <row r="29" spans="1:14" x14ac:dyDescent="0.25">
      <c r="A29" s="23">
        <v>150</v>
      </c>
      <c r="B29" s="46">
        <v>-0.35</v>
      </c>
      <c r="C29" s="47">
        <v>-0.35</v>
      </c>
      <c r="D29" s="43">
        <v>-0.35</v>
      </c>
      <c r="E29" s="47">
        <v>-0.4</v>
      </c>
      <c r="F29" s="47">
        <v>-0.4</v>
      </c>
      <c r="G29" s="48">
        <v>-0.4</v>
      </c>
      <c r="H29" s="46">
        <v>-0.6</v>
      </c>
      <c r="I29" s="43">
        <v>-0.6</v>
      </c>
      <c r="J29" s="48">
        <v>-0.65</v>
      </c>
      <c r="K29" s="48">
        <v>-0.65</v>
      </c>
      <c r="L29" s="45">
        <v>-0.75</v>
      </c>
      <c r="M29" s="48">
        <v>-0.8</v>
      </c>
      <c r="N29" s="45">
        <v>-0.85</v>
      </c>
    </row>
    <row r="30" spans="1:14" x14ac:dyDescent="0.25">
      <c r="A30" s="57">
        <v>155</v>
      </c>
      <c r="B30" s="41">
        <v>-0.3</v>
      </c>
      <c r="C30" s="42">
        <v>-0.3</v>
      </c>
      <c r="D30" s="43">
        <v>-0.3</v>
      </c>
      <c r="E30" s="42">
        <v>-0.35</v>
      </c>
      <c r="F30" s="42">
        <v>-0.3</v>
      </c>
      <c r="G30" s="44">
        <v>-0.3</v>
      </c>
      <c r="H30" s="41">
        <v>-0.5</v>
      </c>
      <c r="I30" s="43">
        <v>-0.5</v>
      </c>
      <c r="J30" s="44">
        <v>-0.6</v>
      </c>
      <c r="K30" s="44"/>
      <c r="L30" s="45"/>
      <c r="M30" s="44"/>
      <c r="N30" s="45"/>
    </row>
    <row r="31" spans="1:14" x14ac:dyDescent="0.25">
      <c r="A31" s="23">
        <v>160</v>
      </c>
      <c r="B31" s="46">
        <v>-0.2</v>
      </c>
      <c r="C31" s="47">
        <v>-0.2</v>
      </c>
      <c r="D31" s="43">
        <v>-0.25</v>
      </c>
      <c r="E31" s="47">
        <v>-0.25</v>
      </c>
      <c r="F31" s="47">
        <v>-0.25</v>
      </c>
      <c r="G31" s="48">
        <v>-0.25</v>
      </c>
      <c r="H31" s="46">
        <v>-0.4</v>
      </c>
      <c r="I31" s="43">
        <v>-0.4</v>
      </c>
      <c r="J31" s="48">
        <v>-0.5</v>
      </c>
      <c r="K31" s="48"/>
      <c r="L31" s="45"/>
      <c r="M31" s="48"/>
      <c r="N31" s="45"/>
    </row>
    <row r="32" spans="1:14" ht="15.75" thickBot="1" x14ac:dyDescent="0.3">
      <c r="A32" s="28">
        <v>165</v>
      </c>
      <c r="B32" s="51">
        <v>-0.15</v>
      </c>
      <c r="C32" s="52">
        <v>-0.15</v>
      </c>
      <c r="D32" s="53">
        <v>-0.2</v>
      </c>
      <c r="E32" s="52">
        <v>-0.2</v>
      </c>
      <c r="F32" s="52">
        <v>-0.2</v>
      </c>
      <c r="G32" s="54">
        <v>-0.2</v>
      </c>
      <c r="H32" s="51">
        <v>-0.3</v>
      </c>
      <c r="I32" s="53">
        <v>-0.35</v>
      </c>
      <c r="J32" s="54">
        <v>-0.45</v>
      </c>
      <c r="K32" s="54">
        <v>-0.5</v>
      </c>
      <c r="L32" s="55">
        <v>-0.55000000000000004</v>
      </c>
      <c r="M32" s="54">
        <v>-0.25</v>
      </c>
      <c r="N32" s="55">
        <v>-0.3</v>
      </c>
    </row>
  </sheetData>
  <mergeCells count="5">
    <mergeCell ref="B4:N4"/>
    <mergeCell ref="B1:G1"/>
    <mergeCell ref="H1:J1"/>
    <mergeCell ref="K1:L1"/>
    <mergeCell ref="M1:N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zoomScale="85" zoomScaleNormal="85" workbookViewId="0">
      <selection activeCell="Q47" sqref="Q47"/>
    </sheetView>
  </sheetViews>
  <sheetFormatPr defaultRowHeight="15" x14ac:dyDescent="0.25"/>
  <cols>
    <col min="1" max="1" width="13.5703125" bestFit="1" customWidth="1"/>
    <col min="2" max="14" width="10.7109375" customWidth="1"/>
  </cols>
  <sheetData>
    <row r="1" spans="1:14" ht="16.5" thickBot="1" x14ac:dyDescent="0.3">
      <c r="A1" s="6" t="s">
        <v>6</v>
      </c>
      <c r="B1" s="7">
        <v>2</v>
      </c>
      <c r="C1" s="5"/>
      <c r="D1" s="5"/>
      <c r="E1" s="5"/>
      <c r="F1" s="5"/>
      <c r="G1" s="5"/>
      <c r="H1" s="5"/>
      <c r="I1" s="5"/>
      <c r="J1" s="5"/>
    </row>
    <row r="2" spans="1:14" ht="16.5" thickBot="1" x14ac:dyDescent="0.3">
      <c r="A2" s="62" t="s">
        <v>7</v>
      </c>
      <c r="B2" s="64" t="s">
        <v>8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6"/>
    </row>
    <row r="3" spans="1:14" ht="16.5" thickBot="1" x14ac:dyDescent="0.3">
      <c r="A3" s="67"/>
      <c r="B3" s="8">
        <v>0.5</v>
      </c>
      <c r="C3" s="14">
        <v>1.3</v>
      </c>
      <c r="D3" s="14">
        <v>1.4</v>
      </c>
      <c r="E3" s="14">
        <v>1.5</v>
      </c>
      <c r="F3" s="14">
        <v>1.6</v>
      </c>
      <c r="G3" s="8">
        <v>2</v>
      </c>
      <c r="H3" s="14">
        <v>2.1</v>
      </c>
      <c r="I3" s="14">
        <v>2.5</v>
      </c>
      <c r="J3" s="8">
        <v>2.8</v>
      </c>
      <c r="K3" s="8">
        <v>3.2</v>
      </c>
      <c r="L3" s="8">
        <v>3.3</v>
      </c>
      <c r="M3" s="8">
        <v>4</v>
      </c>
      <c r="N3" s="8">
        <v>4.2</v>
      </c>
    </row>
    <row r="4" spans="1:14" ht="15.75" x14ac:dyDescent="0.25">
      <c r="A4" s="9">
        <v>15</v>
      </c>
      <c r="B4" s="11">
        <v>0</v>
      </c>
      <c r="C4" s="10">
        <v>0</v>
      </c>
      <c r="D4" s="10">
        <v>0</v>
      </c>
      <c r="E4" s="10">
        <v>0</v>
      </c>
      <c r="F4" s="10">
        <v>0</v>
      </c>
      <c r="G4" s="11">
        <v>0</v>
      </c>
      <c r="H4" s="10">
        <v>0</v>
      </c>
      <c r="I4" s="10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</row>
    <row r="5" spans="1:14" ht="15.75" x14ac:dyDescent="0.25">
      <c r="A5" s="9">
        <v>20</v>
      </c>
      <c r="B5" s="11">
        <v>0</v>
      </c>
      <c r="C5" s="10">
        <v>0</v>
      </c>
      <c r="D5" s="10">
        <v>0</v>
      </c>
      <c r="E5" s="10">
        <v>0</v>
      </c>
      <c r="F5" s="10">
        <v>0</v>
      </c>
      <c r="G5" s="11">
        <v>0</v>
      </c>
      <c r="H5" s="10">
        <v>0</v>
      </c>
      <c r="I5" s="10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</row>
    <row r="6" spans="1:14" ht="15.75" x14ac:dyDescent="0.25">
      <c r="A6" s="9">
        <v>25</v>
      </c>
      <c r="B6" s="11">
        <v>0</v>
      </c>
      <c r="C6" s="10">
        <v>0</v>
      </c>
      <c r="D6" s="10">
        <v>0</v>
      </c>
      <c r="E6" s="10">
        <v>0</v>
      </c>
      <c r="F6" s="10">
        <v>0</v>
      </c>
      <c r="G6" s="11">
        <v>0</v>
      </c>
      <c r="H6" s="10">
        <v>0</v>
      </c>
      <c r="I6" s="10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</row>
    <row r="7" spans="1:14" ht="15.75" x14ac:dyDescent="0.25">
      <c r="A7" s="9">
        <v>30</v>
      </c>
      <c r="B7" s="11">
        <v>0</v>
      </c>
      <c r="C7" s="10">
        <v>0</v>
      </c>
      <c r="D7" s="10">
        <v>0</v>
      </c>
      <c r="E7" s="10">
        <v>0</v>
      </c>
      <c r="F7" s="10">
        <v>0</v>
      </c>
      <c r="G7" s="11">
        <v>0</v>
      </c>
      <c r="H7" s="10">
        <v>0</v>
      </c>
      <c r="I7" s="10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</row>
    <row r="8" spans="1:14" ht="15.75" x14ac:dyDescent="0.25">
      <c r="A8" s="9">
        <v>35</v>
      </c>
      <c r="B8" s="11">
        <v>0</v>
      </c>
      <c r="C8" s="10">
        <v>0</v>
      </c>
      <c r="D8" s="10">
        <v>0</v>
      </c>
      <c r="E8" s="10">
        <v>0</v>
      </c>
      <c r="F8" s="10">
        <v>0</v>
      </c>
      <c r="G8" s="11">
        <v>0</v>
      </c>
      <c r="H8" s="10">
        <v>0</v>
      </c>
      <c r="I8" s="10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</row>
    <row r="9" spans="1:14" ht="15.75" x14ac:dyDescent="0.25">
      <c r="A9" s="9">
        <v>40</v>
      </c>
      <c r="B9" s="11">
        <v>0</v>
      </c>
      <c r="C9" s="10">
        <v>0</v>
      </c>
      <c r="D9" s="10">
        <v>0</v>
      </c>
      <c r="E9" s="10">
        <v>0</v>
      </c>
      <c r="F9" s="10">
        <v>0</v>
      </c>
      <c r="G9" s="11">
        <v>0</v>
      </c>
      <c r="H9" s="10">
        <v>0</v>
      </c>
      <c r="I9" s="10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</row>
    <row r="10" spans="1:14" ht="15.75" x14ac:dyDescent="0.25">
      <c r="A10" s="9">
        <v>45</v>
      </c>
      <c r="B10" s="11">
        <v>0</v>
      </c>
      <c r="C10" s="10">
        <v>0</v>
      </c>
      <c r="D10" s="10">
        <v>0</v>
      </c>
      <c r="E10" s="10">
        <v>0</v>
      </c>
      <c r="F10" s="10">
        <v>0</v>
      </c>
      <c r="G10" s="11">
        <v>0</v>
      </c>
      <c r="H10" s="10">
        <v>0</v>
      </c>
      <c r="I10" s="10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</row>
    <row r="11" spans="1:14" ht="15.75" x14ac:dyDescent="0.25">
      <c r="A11" s="9">
        <v>50</v>
      </c>
      <c r="B11" s="11">
        <v>0</v>
      </c>
      <c r="C11" s="10">
        <v>0</v>
      </c>
      <c r="D11" s="10">
        <v>0</v>
      </c>
      <c r="E11" s="10">
        <v>0</v>
      </c>
      <c r="F11" s="10">
        <v>0</v>
      </c>
      <c r="G11" s="11">
        <v>0</v>
      </c>
      <c r="H11" s="10">
        <v>0</v>
      </c>
      <c r="I11" s="10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</row>
    <row r="12" spans="1:14" ht="15.75" x14ac:dyDescent="0.25">
      <c r="A12" s="9">
        <v>55</v>
      </c>
      <c r="B12" s="11">
        <v>0</v>
      </c>
      <c r="C12" s="10">
        <v>0</v>
      </c>
      <c r="D12" s="10">
        <v>0</v>
      </c>
      <c r="E12" s="10">
        <v>0</v>
      </c>
      <c r="F12" s="10">
        <v>0</v>
      </c>
      <c r="G12" s="11">
        <v>0</v>
      </c>
      <c r="H12" s="10">
        <v>0</v>
      </c>
      <c r="I12" s="10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</row>
    <row r="13" spans="1:14" ht="15.75" x14ac:dyDescent="0.25">
      <c r="A13" s="9">
        <v>60</v>
      </c>
      <c r="B13" s="11">
        <v>0</v>
      </c>
      <c r="C13" s="10">
        <v>0</v>
      </c>
      <c r="D13" s="10">
        <v>0</v>
      </c>
      <c r="E13" s="10">
        <v>0</v>
      </c>
      <c r="F13" s="10">
        <v>0</v>
      </c>
      <c r="G13" s="11">
        <v>0</v>
      </c>
      <c r="H13" s="10">
        <v>0</v>
      </c>
      <c r="I13" s="10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</row>
    <row r="14" spans="1:14" ht="15.75" x14ac:dyDescent="0.25">
      <c r="A14" s="9">
        <v>65</v>
      </c>
      <c r="B14" s="11">
        <v>0</v>
      </c>
      <c r="C14" s="10">
        <v>0</v>
      </c>
      <c r="D14" s="10">
        <v>0</v>
      </c>
      <c r="E14" s="10">
        <v>0</v>
      </c>
      <c r="F14" s="10">
        <v>0</v>
      </c>
      <c r="G14" s="11">
        <v>0</v>
      </c>
      <c r="H14" s="10">
        <v>0</v>
      </c>
      <c r="I14" s="10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</row>
    <row r="15" spans="1:14" ht="15.75" x14ac:dyDescent="0.25">
      <c r="A15" s="9">
        <v>70</v>
      </c>
      <c r="B15" s="11">
        <v>0</v>
      </c>
      <c r="C15" s="10">
        <v>0</v>
      </c>
      <c r="D15" s="10">
        <v>0</v>
      </c>
      <c r="E15" s="10">
        <v>0</v>
      </c>
      <c r="F15" s="10">
        <v>0</v>
      </c>
      <c r="G15" s="11">
        <v>0</v>
      </c>
      <c r="H15" s="10">
        <v>0</v>
      </c>
      <c r="I15" s="10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</row>
    <row r="16" spans="1:14" ht="15.75" x14ac:dyDescent="0.25">
      <c r="A16" s="9">
        <v>75</v>
      </c>
      <c r="B16" s="11">
        <v>0</v>
      </c>
      <c r="C16" s="10">
        <v>0</v>
      </c>
      <c r="D16" s="10">
        <v>0</v>
      </c>
      <c r="E16" s="10">
        <v>0</v>
      </c>
      <c r="F16" s="10">
        <v>0</v>
      </c>
      <c r="G16" s="11">
        <v>0</v>
      </c>
      <c r="H16" s="10">
        <v>0</v>
      </c>
      <c r="I16" s="10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</row>
    <row r="17" spans="1:14" ht="15.75" x14ac:dyDescent="0.25">
      <c r="A17" s="9">
        <v>80</v>
      </c>
      <c r="B17" s="11">
        <v>0</v>
      </c>
      <c r="C17" s="10">
        <v>0</v>
      </c>
      <c r="D17" s="10">
        <v>0</v>
      </c>
      <c r="E17" s="10">
        <v>0</v>
      </c>
      <c r="F17" s="10">
        <v>0</v>
      </c>
      <c r="G17" s="11">
        <v>0</v>
      </c>
      <c r="H17" s="10">
        <v>0</v>
      </c>
      <c r="I17" s="10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</row>
    <row r="18" spans="1:14" ht="15.75" x14ac:dyDescent="0.25">
      <c r="A18" s="9">
        <v>85</v>
      </c>
      <c r="B18" s="11">
        <v>0</v>
      </c>
      <c r="C18" s="10">
        <v>0</v>
      </c>
      <c r="D18" s="10">
        <v>0</v>
      </c>
      <c r="E18" s="10">
        <v>0</v>
      </c>
      <c r="F18" s="10">
        <v>0</v>
      </c>
      <c r="G18" s="11">
        <v>0</v>
      </c>
      <c r="H18" s="10">
        <v>0</v>
      </c>
      <c r="I18" s="10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</row>
    <row r="19" spans="1:14" ht="15.75" x14ac:dyDescent="0.25">
      <c r="A19" s="19">
        <v>90</v>
      </c>
      <c r="B19" s="20">
        <v>0</v>
      </c>
      <c r="C19" s="21">
        <v>0</v>
      </c>
      <c r="D19" s="21">
        <v>0</v>
      </c>
      <c r="E19" s="21">
        <v>0</v>
      </c>
      <c r="F19" s="21">
        <v>0</v>
      </c>
      <c r="G19" s="20">
        <v>0</v>
      </c>
      <c r="H19" s="21">
        <v>0</v>
      </c>
      <c r="I19" s="21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</row>
    <row r="20" spans="1:14" ht="15.75" x14ac:dyDescent="0.25">
      <c r="A20" s="9">
        <v>95</v>
      </c>
      <c r="B20" s="11">
        <v>0</v>
      </c>
      <c r="C20" s="60">
        <f>($B$1+C$3)*(1-TAN(RADIANS(180-$A20)/2))/TAN(RADIANS(180-$A20)/2)</f>
        <v>0.3013180535285957</v>
      </c>
      <c r="D20" s="60">
        <f t="shared" ref="D20:I31" si="0">($B$1+D$3)*(1-TAN(RADIANS(180-$A20)/2))/TAN(RADIANS(180-$A20)/2)</f>
        <v>0.3104489036355228</v>
      </c>
      <c r="E20" s="60">
        <f t="shared" si="0"/>
        <v>0.31957975374244996</v>
      </c>
      <c r="F20" s="60">
        <f t="shared" si="0"/>
        <v>0.32871060384937711</v>
      </c>
      <c r="G20" s="11">
        <v>0</v>
      </c>
      <c r="H20" s="60">
        <f t="shared" si="0"/>
        <v>0.37436485438401279</v>
      </c>
      <c r="I20" s="60">
        <f t="shared" si="0"/>
        <v>0.41088825481172137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</row>
    <row r="21" spans="1:14" ht="15.75" x14ac:dyDescent="0.25">
      <c r="A21" s="9">
        <v>100</v>
      </c>
      <c r="B21" s="11">
        <v>0</v>
      </c>
      <c r="C21" s="60">
        <f t="shared" ref="C21:C31" si="1">($B$1+C$3)*(1-TAN(RADIANS(180-$A21)/2))/TAN(RADIANS(180-$A21)/2)</f>
        <v>0.6327868555608932</v>
      </c>
      <c r="D21" s="60">
        <f t="shared" si="0"/>
        <v>0.65196221482031425</v>
      </c>
      <c r="E21" s="60">
        <f t="shared" si="0"/>
        <v>0.67113757407973518</v>
      </c>
      <c r="F21" s="60">
        <f t="shared" si="0"/>
        <v>0.69031293333915633</v>
      </c>
      <c r="G21" s="11">
        <v>0</v>
      </c>
      <c r="H21" s="60">
        <f t="shared" si="0"/>
        <v>0.78618972963626121</v>
      </c>
      <c r="I21" s="60">
        <f t="shared" si="0"/>
        <v>0.86289116667394539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</row>
    <row r="22" spans="1:14" ht="15.75" x14ac:dyDescent="0.25">
      <c r="A22" s="9">
        <v>105</v>
      </c>
      <c r="B22" s="11">
        <v>0</v>
      </c>
      <c r="C22" s="60">
        <f t="shared" si="1"/>
        <v>1.0006437303759788</v>
      </c>
      <c r="D22" s="60">
        <f t="shared" si="0"/>
        <v>1.0309662676600995</v>
      </c>
      <c r="E22" s="60">
        <f t="shared" si="0"/>
        <v>1.06128880494422</v>
      </c>
      <c r="F22" s="60">
        <f t="shared" si="0"/>
        <v>1.0916113422283404</v>
      </c>
      <c r="G22" s="11">
        <v>0</v>
      </c>
      <c r="H22" s="60">
        <f t="shared" si="0"/>
        <v>1.2432240286489433</v>
      </c>
      <c r="I22" s="60">
        <f t="shared" si="0"/>
        <v>1.3645141777854255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</row>
    <row r="23" spans="1:14" ht="15.75" x14ac:dyDescent="0.25">
      <c r="A23" s="9">
        <v>110</v>
      </c>
      <c r="B23" s="11">
        <v>0</v>
      </c>
      <c r="C23" s="60">
        <f t="shared" si="1"/>
        <v>1.4128884222489784</v>
      </c>
      <c r="D23" s="60">
        <f t="shared" si="0"/>
        <v>1.4557032229231899</v>
      </c>
      <c r="E23" s="60">
        <f t="shared" si="0"/>
        <v>1.4985180235974012</v>
      </c>
      <c r="F23" s="60">
        <f t="shared" si="0"/>
        <v>1.5413328242716127</v>
      </c>
      <c r="G23" s="11">
        <v>0</v>
      </c>
      <c r="H23" s="60">
        <f t="shared" si="0"/>
        <v>1.7554068276426698</v>
      </c>
      <c r="I23" s="60">
        <f t="shared" si="0"/>
        <v>1.926666030339516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</row>
    <row r="24" spans="1:14" ht="15.75" x14ac:dyDescent="0.25">
      <c r="A24" s="9">
        <v>115</v>
      </c>
      <c r="B24" s="11">
        <v>0</v>
      </c>
      <c r="C24" s="60">
        <f t="shared" si="1"/>
        <v>1.8799624044877179</v>
      </c>
      <c r="D24" s="60">
        <f t="shared" si="0"/>
        <v>1.936930962199467</v>
      </c>
      <c r="E24" s="60">
        <f t="shared" si="0"/>
        <v>1.9938995199112162</v>
      </c>
      <c r="F24" s="60">
        <f t="shared" si="0"/>
        <v>2.0508680776229653</v>
      </c>
      <c r="G24" s="11">
        <v>0</v>
      </c>
      <c r="H24" s="60">
        <f t="shared" si="0"/>
        <v>2.3357108661817101</v>
      </c>
      <c r="I24" s="60">
        <f t="shared" si="0"/>
        <v>2.5635850970287062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</row>
    <row r="25" spans="1:14" ht="15.75" x14ac:dyDescent="0.25">
      <c r="A25" s="9">
        <v>120</v>
      </c>
      <c r="B25" s="11">
        <v>0</v>
      </c>
      <c r="C25" s="60">
        <f t="shared" si="1"/>
        <v>2.4157676649772952</v>
      </c>
      <c r="D25" s="60">
        <f t="shared" si="0"/>
        <v>2.4889727457341833</v>
      </c>
      <c r="E25" s="60">
        <f t="shared" si="0"/>
        <v>2.5621778264910708</v>
      </c>
      <c r="F25" s="60">
        <f t="shared" si="0"/>
        <v>2.6353829072479584</v>
      </c>
      <c r="G25" s="11">
        <v>0</v>
      </c>
      <c r="H25" s="60">
        <f t="shared" si="0"/>
        <v>3.0014083110323972</v>
      </c>
      <c r="I25" s="60">
        <f t="shared" si="0"/>
        <v>3.2942286340599485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</row>
    <row r="26" spans="1:14" ht="15.75" x14ac:dyDescent="0.25">
      <c r="A26" s="9">
        <v>125</v>
      </c>
      <c r="B26" s="11">
        <v>0</v>
      </c>
      <c r="C26" s="60">
        <f t="shared" si="1"/>
        <v>3.0392410190048476</v>
      </c>
      <c r="D26" s="60">
        <f t="shared" si="0"/>
        <v>3.1313392317019644</v>
      </c>
      <c r="E26" s="60">
        <f t="shared" si="0"/>
        <v>3.2234374443990812</v>
      </c>
      <c r="F26" s="60">
        <f t="shared" si="0"/>
        <v>3.315535657096198</v>
      </c>
      <c r="G26" s="11">
        <v>0</v>
      </c>
      <c r="H26" s="60">
        <f t="shared" si="0"/>
        <v>3.7760267205817808</v>
      </c>
      <c r="I26" s="60">
        <f t="shared" si="0"/>
        <v>4.1444195713702472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</row>
    <row r="27" spans="1:14" ht="15.75" x14ac:dyDescent="0.25">
      <c r="A27" s="9">
        <v>130</v>
      </c>
      <c r="B27" s="11">
        <v>0</v>
      </c>
      <c r="C27" s="60">
        <f t="shared" si="1"/>
        <v>3.7768728376815437</v>
      </c>
      <c r="D27" s="60">
        <f t="shared" si="0"/>
        <v>3.8913235297324995</v>
      </c>
      <c r="E27" s="60">
        <f t="shared" si="0"/>
        <v>4.0057742217834553</v>
      </c>
      <c r="F27" s="60">
        <f t="shared" si="0"/>
        <v>4.120224913834412</v>
      </c>
      <c r="G27" s="11">
        <v>0</v>
      </c>
      <c r="H27" s="60">
        <f t="shared" si="0"/>
        <v>4.6924783740891902</v>
      </c>
      <c r="I27" s="60">
        <f t="shared" si="0"/>
        <v>5.1502811422930144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</row>
    <row r="28" spans="1:14" ht="15.75" x14ac:dyDescent="0.25">
      <c r="A28" s="9">
        <v>135</v>
      </c>
      <c r="B28" s="11">
        <v>0</v>
      </c>
      <c r="C28" s="60">
        <f t="shared" si="1"/>
        <v>4.6669047558312133</v>
      </c>
      <c r="D28" s="60">
        <f t="shared" si="0"/>
        <v>4.8083261120685235</v>
      </c>
      <c r="E28" s="60">
        <f t="shared" si="0"/>
        <v>4.9497474683058327</v>
      </c>
      <c r="F28" s="60">
        <f t="shared" si="0"/>
        <v>5.0911688245431428</v>
      </c>
      <c r="G28" s="11">
        <v>0</v>
      </c>
      <c r="H28" s="60">
        <f t="shared" si="0"/>
        <v>5.7982756057296898</v>
      </c>
      <c r="I28" s="60">
        <f t="shared" si="0"/>
        <v>6.3639610306789285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</row>
    <row r="29" spans="1:14" ht="15.75" x14ac:dyDescent="0.25">
      <c r="A29" s="9">
        <v>140</v>
      </c>
      <c r="B29" s="11">
        <v>0</v>
      </c>
      <c r="C29" s="60">
        <f t="shared" si="1"/>
        <v>5.7666754842002534</v>
      </c>
      <c r="D29" s="60">
        <f t="shared" si="0"/>
        <v>5.9414232261457158</v>
      </c>
      <c r="E29" s="60">
        <f t="shared" si="0"/>
        <v>6.1161709680911782</v>
      </c>
      <c r="F29" s="60">
        <f t="shared" si="0"/>
        <v>6.2909187100366406</v>
      </c>
      <c r="G29" s="11">
        <v>0</v>
      </c>
      <c r="H29" s="60">
        <f t="shared" si="0"/>
        <v>7.1646574197639508</v>
      </c>
      <c r="I29" s="60">
        <f t="shared" si="0"/>
        <v>7.8636483875458012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</row>
    <row r="30" spans="1:14" ht="15.75" x14ac:dyDescent="0.25">
      <c r="A30" s="9">
        <v>145</v>
      </c>
      <c r="B30" s="11">
        <v>0</v>
      </c>
      <c r="C30" s="60">
        <f t="shared" si="1"/>
        <v>7.1662628477986017</v>
      </c>
      <c r="D30" s="60">
        <f t="shared" si="0"/>
        <v>7.3834223280349232</v>
      </c>
      <c r="E30" s="60">
        <f t="shared" si="0"/>
        <v>7.6005818082712446</v>
      </c>
      <c r="F30" s="60">
        <f t="shared" si="0"/>
        <v>7.8177412885075661</v>
      </c>
      <c r="G30" s="11">
        <v>0</v>
      </c>
      <c r="H30" s="60">
        <f t="shared" si="0"/>
        <v>8.9035386896891708</v>
      </c>
      <c r="I30" s="60">
        <f t="shared" si="0"/>
        <v>9.7721766106344568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</row>
    <row r="31" spans="1:14" ht="15.75" x14ac:dyDescent="0.25">
      <c r="A31" s="9">
        <v>150</v>
      </c>
      <c r="B31" s="11">
        <v>0</v>
      </c>
      <c r="C31" s="60">
        <f t="shared" si="1"/>
        <v>9.0157676649772949</v>
      </c>
      <c r="D31" s="60">
        <f t="shared" si="0"/>
        <v>9.2889727457341831</v>
      </c>
      <c r="E31" s="60">
        <f t="shared" si="0"/>
        <v>9.5621778264910713</v>
      </c>
      <c r="F31" s="60">
        <f t="shared" si="0"/>
        <v>9.8353829072479595</v>
      </c>
      <c r="G31" s="11">
        <v>0</v>
      </c>
      <c r="H31" s="60">
        <f t="shared" si="0"/>
        <v>11.201408311032397</v>
      </c>
      <c r="I31" s="60">
        <f t="shared" si="0"/>
        <v>12.29422863405995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</row>
    <row r="32" spans="1:14" ht="15.75" thickBot="1" x14ac:dyDescent="0.3"/>
    <row r="33" spans="1:14" ht="16.5" thickBot="1" x14ac:dyDescent="0.3">
      <c r="A33" s="6" t="s">
        <v>6</v>
      </c>
      <c r="B33" s="7">
        <v>3.2</v>
      </c>
      <c r="C33" s="5"/>
      <c r="D33" s="5"/>
      <c r="E33" s="5"/>
      <c r="F33" s="5"/>
      <c r="G33" s="5"/>
      <c r="H33" s="5"/>
      <c r="I33" s="5"/>
      <c r="J33" s="5"/>
    </row>
    <row r="34" spans="1:14" ht="16.5" thickBot="1" x14ac:dyDescent="0.3">
      <c r="A34" s="62" t="s">
        <v>7</v>
      </c>
      <c r="B34" s="64" t="s">
        <v>8</v>
      </c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6"/>
    </row>
    <row r="35" spans="1:14" ht="16.5" thickBot="1" x14ac:dyDescent="0.3">
      <c r="A35" s="63"/>
      <c r="B35" s="8">
        <v>0.5</v>
      </c>
      <c r="C35" s="8">
        <v>1.3</v>
      </c>
      <c r="D35" s="8">
        <v>1.4</v>
      </c>
      <c r="E35" s="8">
        <v>1.5</v>
      </c>
      <c r="F35" s="8">
        <v>1.6</v>
      </c>
      <c r="G35" s="14">
        <v>2</v>
      </c>
      <c r="H35" s="14">
        <v>2.1</v>
      </c>
      <c r="I35" s="8">
        <v>2.5</v>
      </c>
      <c r="J35" s="14">
        <v>2.8</v>
      </c>
      <c r="K35" s="8">
        <v>3.2</v>
      </c>
      <c r="L35" s="8">
        <v>3.3</v>
      </c>
      <c r="M35" s="8">
        <v>4</v>
      </c>
      <c r="N35" s="8">
        <v>4.2</v>
      </c>
    </row>
    <row r="36" spans="1:14" ht="15.75" x14ac:dyDescent="0.25">
      <c r="A36" s="9">
        <v>15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0">
        <v>0</v>
      </c>
      <c r="H36" s="10">
        <v>0</v>
      </c>
      <c r="I36" s="11">
        <v>0</v>
      </c>
      <c r="J36" s="10">
        <v>0</v>
      </c>
      <c r="K36" s="11">
        <v>0</v>
      </c>
      <c r="L36" s="11">
        <v>0</v>
      </c>
      <c r="M36" s="11">
        <v>0</v>
      </c>
      <c r="N36" s="11">
        <v>0</v>
      </c>
    </row>
    <row r="37" spans="1:14" ht="15.75" x14ac:dyDescent="0.25">
      <c r="A37" s="9">
        <v>20</v>
      </c>
      <c r="B37" s="11">
        <v>0</v>
      </c>
      <c r="C37" s="11">
        <v>0</v>
      </c>
      <c r="D37" s="11">
        <v>0</v>
      </c>
      <c r="E37" s="11">
        <v>0</v>
      </c>
      <c r="F37" s="11">
        <v>0</v>
      </c>
      <c r="G37" s="10">
        <v>0</v>
      </c>
      <c r="H37" s="10">
        <v>0</v>
      </c>
      <c r="I37" s="11">
        <v>0</v>
      </c>
      <c r="J37" s="10">
        <v>0</v>
      </c>
      <c r="K37" s="11">
        <v>0</v>
      </c>
      <c r="L37" s="11">
        <v>0</v>
      </c>
      <c r="M37" s="11">
        <v>0</v>
      </c>
      <c r="N37" s="11">
        <v>0</v>
      </c>
    </row>
    <row r="38" spans="1:14" ht="15.75" x14ac:dyDescent="0.25">
      <c r="A38" s="9">
        <v>25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0">
        <v>0</v>
      </c>
      <c r="H38" s="10">
        <v>0</v>
      </c>
      <c r="I38" s="11">
        <v>0</v>
      </c>
      <c r="J38" s="10">
        <v>0</v>
      </c>
      <c r="K38" s="11">
        <v>0</v>
      </c>
      <c r="L38" s="11">
        <v>0</v>
      </c>
      <c r="M38" s="11">
        <v>0</v>
      </c>
      <c r="N38" s="11">
        <v>0</v>
      </c>
    </row>
    <row r="39" spans="1:14" ht="15.75" x14ac:dyDescent="0.25">
      <c r="A39" s="9">
        <v>30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0">
        <v>0</v>
      </c>
      <c r="H39" s="10">
        <v>0</v>
      </c>
      <c r="I39" s="11">
        <v>0</v>
      </c>
      <c r="J39" s="10">
        <v>0</v>
      </c>
      <c r="K39" s="11">
        <v>0</v>
      </c>
      <c r="L39" s="11">
        <v>0</v>
      </c>
      <c r="M39" s="11">
        <v>0</v>
      </c>
      <c r="N39" s="11">
        <v>0</v>
      </c>
    </row>
    <row r="40" spans="1:14" ht="15.75" x14ac:dyDescent="0.25">
      <c r="A40" s="9">
        <v>35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0">
        <v>0</v>
      </c>
      <c r="H40" s="10">
        <v>0</v>
      </c>
      <c r="I40" s="11">
        <v>0</v>
      </c>
      <c r="J40" s="10">
        <v>0</v>
      </c>
      <c r="K40" s="11">
        <v>0</v>
      </c>
      <c r="L40" s="11">
        <v>0</v>
      </c>
      <c r="M40" s="11">
        <v>0</v>
      </c>
      <c r="N40" s="11">
        <v>0</v>
      </c>
    </row>
    <row r="41" spans="1:14" ht="15.75" x14ac:dyDescent="0.25">
      <c r="A41" s="9">
        <v>40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0">
        <v>0</v>
      </c>
      <c r="H41" s="10">
        <v>0</v>
      </c>
      <c r="I41" s="11">
        <v>0</v>
      </c>
      <c r="J41" s="10">
        <v>0</v>
      </c>
      <c r="K41" s="11">
        <v>0</v>
      </c>
      <c r="L41" s="11">
        <v>0</v>
      </c>
      <c r="M41" s="11">
        <v>0</v>
      </c>
      <c r="N41" s="11">
        <v>0</v>
      </c>
    </row>
    <row r="42" spans="1:14" ht="15.75" x14ac:dyDescent="0.25">
      <c r="A42" s="9">
        <v>45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0">
        <v>0</v>
      </c>
      <c r="H42" s="10">
        <v>0</v>
      </c>
      <c r="I42" s="11">
        <v>0</v>
      </c>
      <c r="J42" s="10">
        <v>0</v>
      </c>
      <c r="K42" s="11">
        <v>0</v>
      </c>
      <c r="L42" s="11">
        <v>0</v>
      </c>
      <c r="M42" s="11">
        <v>0</v>
      </c>
      <c r="N42" s="11">
        <v>0</v>
      </c>
    </row>
    <row r="43" spans="1:14" ht="15.75" x14ac:dyDescent="0.25">
      <c r="A43" s="9">
        <v>50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0">
        <v>0</v>
      </c>
      <c r="H43" s="10">
        <v>0</v>
      </c>
      <c r="I43" s="11">
        <v>0</v>
      </c>
      <c r="J43" s="10">
        <v>0</v>
      </c>
      <c r="K43" s="11">
        <v>0</v>
      </c>
      <c r="L43" s="11">
        <v>0</v>
      </c>
      <c r="M43" s="11">
        <v>0</v>
      </c>
      <c r="N43" s="11">
        <v>0</v>
      </c>
    </row>
    <row r="44" spans="1:14" ht="15.75" x14ac:dyDescent="0.25">
      <c r="A44" s="9">
        <v>55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0">
        <v>0</v>
      </c>
      <c r="H44" s="10">
        <v>0</v>
      </c>
      <c r="I44" s="11">
        <v>0</v>
      </c>
      <c r="J44" s="10">
        <v>0</v>
      </c>
      <c r="K44" s="11">
        <v>0</v>
      </c>
      <c r="L44" s="11">
        <v>0</v>
      </c>
      <c r="M44" s="11">
        <v>0</v>
      </c>
      <c r="N44" s="11">
        <v>0</v>
      </c>
    </row>
    <row r="45" spans="1:14" ht="15.75" x14ac:dyDescent="0.25">
      <c r="A45" s="9">
        <v>60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0">
        <v>0</v>
      </c>
      <c r="H45" s="10">
        <v>0</v>
      </c>
      <c r="I45" s="11">
        <v>0</v>
      </c>
      <c r="J45" s="10">
        <v>0</v>
      </c>
      <c r="K45" s="11">
        <v>0</v>
      </c>
      <c r="L45" s="11">
        <v>0</v>
      </c>
      <c r="M45" s="11">
        <v>0</v>
      </c>
      <c r="N45" s="11">
        <v>0</v>
      </c>
    </row>
    <row r="46" spans="1:14" ht="15.75" x14ac:dyDescent="0.25">
      <c r="A46" s="9">
        <v>65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0">
        <v>0</v>
      </c>
      <c r="H46" s="10">
        <v>0</v>
      </c>
      <c r="I46" s="11">
        <v>0</v>
      </c>
      <c r="J46" s="10">
        <v>0</v>
      </c>
      <c r="K46" s="11">
        <v>0</v>
      </c>
      <c r="L46" s="11">
        <v>0</v>
      </c>
      <c r="M46" s="11">
        <v>0</v>
      </c>
      <c r="N46" s="11">
        <v>0</v>
      </c>
    </row>
    <row r="47" spans="1:14" ht="15.75" x14ac:dyDescent="0.25">
      <c r="A47" s="9">
        <v>70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0">
        <v>0</v>
      </c>
      <c r="H47" s="10">
        <v>0</v>
      </c>
      <c r="I47" s="11">
        <v>0</v>
      </c>
      <c r="J47" s="10">
        <v>0</v>
      </c>
      <c r="K47" s="11">
        <v>0</v>
      </c>
      <c r="L47" s="11">
        <v>0</v>
      </c>
      <c r="M47" s="11">
        <v>0</v>
      </c>
      <c r="N47" s="11">
        <v>0</v>
      </c>
    </row>
    <row r="48" spans="1:14" ht="15.75" x14ac:dyDescent="0.25">
      <c r="A48" s="9">
        <v>75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0">
        <v>0</v>
      </c>
      <c r="H48" s="10">
        <v>0</v>
      </c>
      <c r="I48" s="11">
        <v>0</v>
      </c>
      <c r="J48" s="10">
        <v>0</v>
      </c>
      <c r="K48" s="11">
        <v>0</v>
      </c>
      <c r="L48" s="11">
        <v>0</v>
      </c>
      <c r="M48" s="11">
        <v>0</v>
      </c>
      <c r="N48" s="11">
        <v>0</v>
      </c>
    </row>
    <row r="49" spans="1:14" ht="15.75" x14ac:dyDescent="0.25">
      <c r="A49" s="9">
        <v>80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0">
        <v>0</v>
      </c>
      <c r="H49" s="10">
        <v>0</v>
      </c>
      <c r="I49" s="11">
        <v>0</v>
      </c>
      <c r="J49" s="10">
        <v>0</v>
      </c>
      <c r="K49" s="11">
        <v>0</v>
      </c>
      <c r="L49" s="11">
        <v>0</v>
      </c>
      <c r="M49" s="11">
        <v>0</v>
      </c>
      <c r="N49" s="11">
        <v>0</v>
      </c>
    </row>
    <row r="50" spans="1:14" ht="15.75" x14ac:dyDescent="0.25">
      <c r="A50" s="9">
        <v>85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0">
        <v>0</v>
      </c>
      <c r="H50" s="10">
        <v>0</v>
      </c>
      <c r="I50" s="11">
        <v>0</v>
      </c>
      <c r="J50" s="10">
        <v>0</v>
      </c>
      <c r="K50" s="11">
        <v>0</v>
      </c>
      <c r="L50" s="11">
        <v>0</v>
      </c>
      <c r="M50" s="11">
        <v>0</v>
      </c>
      <c r="N50" s="11">
        <v>0</v>
      </c>
    </row>
    <row r="51" spans="1:14" ht="15.75" x14ac:dyDescent="0.25">
      <c r="A51" s="19">
        <v>90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1">
        <v>0</v>
      </c>
      <c r="H51" s="21">
        <v>0</v>
      </c>
      <c r="I51" s="20">
        <v>0</v>
      </c>
      <c r="J51" s="21">
        <v>0</v>
      </c>
      <c r="K51" s="20">
        <v>0</v>
      </c>
      <c r="L51" s="20">
        <v>0</v>
      </c>
      <c r="M51" s="20">
        <v>0</v>
      </c>
      <c r="N51" s="20">
        <v>0</v>
      </c>
    </row>
    <row r="52" spans="1:14" ht="15.75" x14ac:dyDescent="0.25">
      <c r="A52" s="9">
        <v>95</v>
      </c>
      <c r="B52" s="11">
        <v>0</v>
      </c>
      <c r="C52" s="13">
        <v>0</v>
      </c>
      <c r="D52" s="13">
        <v>0</v>
      </c>
      <c r="E52" s="13">
        <v>0</v>
      </c>
      <c r="F52" s="13">
        <v>0</v>
      </c>
      <c r="G52" s="60">
        <f>($B$33+G$35)*(1-TAN(RADIANS(180-$A52)/2))/TAN(RADIANS(180-$A52)/2)</f>
        <v>0.47480420556021136</v>
      </c>
      <c r="H52" s="60">
        <f t="shared" ref="H52:J63" si="2">($B$33+H$35)*(1-TAN(RADIANS(180-$A52)/2))/TAN(RADIANS(180-$A52)/2)</f>
        <v>0.48393505566713857</v>
      </c>
      <c r="I52" s="13">
        <v>0</v>
      </c>
      <c r="J52" s="60">
        <f t="shared" si="2"/>
        <v>0.54785100641562845</v>
      </c>
      <c r="K52" s="11">
        <v>0</v>
      </c>
      <c r="L52" s="11">
        <v>0</v>
      </c>
      <c r="M52" s="11">
        <v>0</v>
      </c>
      <c r="N52" s="11">
        <v>0</v>
      </c>
    </row>
    <row r="53" spans="1:14" ht="15.75" x14ac:dyDescent="0.25">
      <c r="A53" s="9">
        <v>100</v>
      </c>
      <c r="B53" s="11">
        <v>0</v>
      </c>
      <c r="C53" s="13">
        <v>0</v>
      </c>
      <c r="D53" s="13">
        <v>0</v>
      </c>
      <c r="E53" s="13">
        <v>0</v>
      </c>
      <c r="F53" s="13">
        <v>0</v>
      </c>
      <c r="G53" s="60">
        <f t="shared" ref="G53:G63" si="3">($B$33+G$35)*(1-TAN(RADIANS(180-$A53)/2))/TAN(RADIANS(180-$A53)/2)</f>
        <v>0.99711868148989247</v>
      </c>
      <c r="H53" s="60">
        <f t="shared" si="2"/>
        <v>1.0162940407493137</v>
      </c>
      <c r="I53" s="13">
        <v>0</v>
      </c>
      <c r="J53" s="60">
        <f t="shared" si="2"/>
        <v>1.1505215555652606</v>
      </c>
      <c r="K53" s="11">
        <v>0</v>
      </c>
      <c r="L53" s="11">
        <v>0</v>
      </c>
      <c r="M53" s="11">
        <v>0</v>
      </c>
      <c r="N53" s="11">
        <v>0</v>
      </c>
    </row>
    <row r="54" spans="1:14" ht="15.75" x14ac:dyDescent="0.25">
      <c r="A54" s="9">
        <v>105</v>
      </c>
      <c r="B54" s="11">
        <v>0</v>
      </c>
      <c r="C54" s="13">
        <v>0</v>
      </c>
      <c r="D54" s="13">
        <v>0</v>
      </c>
      <c r="E54" s="13">
        <v>0</v>
      </c>
      <c r="F54" s="13">
        <v>0</v>
      </c>
      <c r="G54" s="60">
        <f t="shared" si="3"/>
        <v>1.5767719387742696</v>
      </c>
      <c r="H54" s="60">
        <f t="shared" si="2"/>
        <v>1.6070944760583903</v>
      </c>
      <c r="I54" s="13">
        <v>0</v>
      </c>
      <c r="J54" s="60">
        <f t="shared" si="2"/>
        <v>1.8193522370472341</v>
      </c>
      <c r="K54" s="11">
        <v>0</v>
      </c>
      <c r="L54" s="11">
        <v>0</v>
      </c>
      <c r="M54" s="11">
        <v>0</v>
      </c>
      <c r="N54" s="11">
        <v>0</v>
      </c>
    </row>
    <row r="55" spans="1:14" ht="15.75" x14ac:dyDescent="0.25">
      <c r="A55" s="9">
        <v>110</v>
      </c>
      <c r="B55" s="11">
        <v>0</v>
      </c>
      <c r="C55" s="13">
        <v>0</v>
      </c>
      <c r="D55" s="13">
        <v>0</v>
      </c>
      <c r="E55" s="13">
        <v>0</v>
      </c>
      <c r="F55" s="13">
        <v>0</v>
      </c>
      <c r="G55" s="60">
        <f t="shared" si="3"/>
        <v>2.2263696350589961</v>
      </c>
      <c r="H55" s="60">
        <f t="shared" si="2"/>
        <v>2.2691844357332078</v>
      </c>
      <c r="I55" s="13">
        <v>0</v>
      </c>
      <c r="J55" s="60">
        <f t="shared" si="2"/>
        <v>2.5688880404526877</v>
      </c>
      <c r="K55" s="11">
        <v>0</v>
      </c>
      <c r="L55" s="11">
        <v>0</v>
      </c>
      <c r="M55" s="11">
        <v>0</v>
      </c>
      <c r="N55" s="11">
        <v>0</v>
      </c>
    </row>
    <row r="56" spans="1:14" ht="15.75" x14ac:dyDescent="0.25">
      <c r="A56" s="9">
        <v>115</v>
      </c>
      <c r="B56" s="11">
        <v>0</v>
      </c>
      <c r="C56" s="13">
        <v>0</v>
      </c>
      <c r="D56" s="13">
        <v>0</v>
      </c>
      <c r="E56" s="13">
        <v>0</v>
      </c>
      <c r="F56" s="13">
        <v>0</v>
      </c>
      <c r="G56" s="60">
        <f t="shared" si="3"/>
        <v>2.9623650010109497</v>
      </c>
      <c r="H56" s="60">
        <f t="shared" si="2"/>
        <v>3.0193335587226993</v>
      </c>
      <c r="I56" s="13">
        <v>0</v>
      </c>
      <c r="J56" s="60">
        <f t="shared" si="2"/>
        <v>3.4181134627049419</v>
      </c>
      <c r="K56" s="11">
        <v>0</v>
      </c>
      <c r="L56" s="11">
        <v>0</v>
      </c>
      <c r="M56" s="11">
        <v>0</v>
      </c>
      <c r="N56" s="11">
        <v>0</v>
      </c>
    </row>
    <row r="57" spans="1:14" ht="15.75" x14ac:dyDescent="0.25">
      <c r="A57" s="9">
        <v>120</v>
      </c>
      <c r="B57" s="11">
        <v>0</v>
      </c>
      <c r="C57" s="13">
        <v>0</v>
      </c>
      <c r="D57" s="13">
        <v>0</v>
      </c>
      <c r="E57" s="13">
        <v>0</v>
      </c>
      <c r="F57" s="13">
        <v>0</v>
      </c>
      <c r="G57" s="60">
        <f t="shared" si="3"/>
        <v>3.8066641993581625</v>
      </c>
      <c r="H57" s="60">
        <f t="shared" si="2"/>
        <v>3.8798692801150509</v>
      </c>
      <c r="I57" s="13">
        <v>0</v>
      </c>
      <c r="J57" s="60">
        <f t="shared" si="2"/>
        <v>4.392304845413264</v>
      </c>
      <c r="K57" s="11">
        <v>0</v>
      </c>
      <c r="L57" s="11">
        <v>0</v>
      </c>
      <c r="M57" s="11">
        <v>0</v>
      </c>
      <c r="N57" s="11">
        <v>0</v>
      </c>
    </row>
    <row r="58" spans="1:14" ht="15.75" x14ac:dyDescent="0.25">
      <c r="A58" s="9">
        <v>125</v>
      </c>
      <c r="B58" s="11">
        <v>0</v>
      </c>
      <c r="C58" s="13">
        <v>0</v>
      </c>
      <c r="D58" s="13">
        <v>0</v>
      </c>
      <c r="E58" s="13">
        <v>0</v>
      </c>
      <c r="F58" s="13">
        <v>0</v>
      </c>
      <c r="G58" s="60">
        <f t="shared" si="3"/>
        <v>4.7891070602500632</v>
      </c>
      <c r="H58" s="60">
        <f t="shared" si="2"/>
        <v>4.8812052729471809</v>
      </c>
      <c r="I58" s="13">
        <v>0</v>
      </c>
      <c r="J58" s="60">
        <f t="shared" si="2"/>
        <v>5.525892761826996</v>
      </c>
      <c r="K58" s="11">
        <v>0</v>
      </c>
      <c r="L58" s="11">
        <v>0</v>
      </c>
      <c r="M58" s="11">
        <v>0</v>
      </c>
      <c r="N58" s="11">
        <v>0</v>
      </c>
    </row>
    <row r="59" spans="1:14" ht="15.75" x14ac:dyDescent="0.25">
      <c r="A59" s="9">
        <v>130</v>
      </c>
      <c r="B59" s="11">
        <v>0</v>
      </c>
      <c r="C59" s="13">
        <v>0</v>
      </c>
      <c r="D59" s="13">
        <v>0</v>
      </c>
      <c r="E59" s="13">
        <v>0</v>
      </c>
      <c r="F59" s="13">
        <v>0</v>
      </c>
      <c r="G59" s="60">
        <f t="shared" si="3"/>
        <v>5.951435986649706</v>
      </c>
      <c r="H59" s="60">
        <f t="shared" si="2"/>
        <v>6.0658866787006618</v>
      </c>
      <c r="I59" s="13">
        <v>0</v>
      </c>
      <c r="J59" s="60">
        <f t="shared" si="2"/>
        <v>6.8670415230573525</v>
      </c>
      <c r="K59" s="11">
        <v>0</v>
      </c>
      <c r="L59" s="11">
        <v>0</v>
      </c>
      <c r="M59" s="11">
        <v>0</v>
      </c>
      <c r="N59" s="11">
        <v>0</v>
      </c>
    </row>
    <row r="60" spans="1:14" ht="15.75" x14ac:dyDescent="0.25">
      <c r="A60" s="9">
        <v>135</v>
      </c>
      <c r="B60" s="11">
        <v>0</v>
      </c>
      <c r="C60" s="13">
        <v>0</v>
      </c>
      <c r="D60" s="13">
        <v>0</v>
      </c>
      <c r="E60" s="13">
        <v>0</v>
      </c>
      <c r="F60" s="13">
        <v>0</v>
      </c>
      <c r="G60" s="60">
        <f t="shared" si="3"/>
        <v>7.3539105243400948</v>
      </c>
      <c r="H60" s="60">
        <f t="shared" si="2"/>
        <v>7.4953318805774058</v>
      </c>
      <c r="I60" s="13">
        <v>0</v>
      </c>
      <c r="J60" s="60">
        <f t="shared" si="2"/>
        <v>8.4852813742385695</v>
      </c>
      <c r="K60" s="11">
        <v>0</v>
      </c>
      <c r="L60" s="11">
        <v>0</v>
      </c>
      <c r="M60" s="11">
        <v>0</v>
      </c>
      <c r="N60" s="11">
        <v>0</v>
      </c>
    </row>
    <row r="61" spans="1:14" ht="15.75" x14ac:dyDescent="0.25">
      <c r="A61" s="9">
        <v>140</v>
      </c>
      <c r="B61" s="11">
        <v>0</v>
      </c>
      <c r="C61" s="13">
        <v>0</v>
      </c>
      <c r="D61" s="13">
        <v>0</v>
      </c>
      <c r="E61" s="13">
        <v>0</v>
      </c>
      <c r="F61" s="13">
        <v>0</v>
      </c>
      <c r="G61" s="60">
        <f t="shared" si="3"/>
        <v>9.086882581164037</v>
      </c>
      <c r="H61" s="60">
        <f t="shared" si="2"/>
        <v>9.2616303231095003</v>
      </c>
      <c r="I61" s="13">
        <v>0</v>
      </c>
      <c r="J61" s="60">
        <f t="shared" si="2"/>
        <v>10.484864516727734</v>
      </c>
      <c r="K61" s="11">
        <v>0</v>
      </c>
      <c r="L61" s="11">
        <v>0</v>
      </c>
      <c r="M61" s="11">
        <v>0</v>
      </c>
      <c r="N61" s="11">
        <v>0</v>
      </c>
    </row>
    <row r="62" spans="1:14" ht="15.75" x14ac:dyDescent="0.25">
      <c r="A62" s="9">
        <v>145</v>
      </c>
      <c r="B62" s="11">
        <v>0</v>
      </c>
      <c r="C62" s="13">
        <v>0</v>
      </c>
      <c r="D62" s="13">
        <v>0</v>
      </c>
      <c r="E62" s="13">
        <v>0</v>
      </c>
      <c r="F62" s="13">
        <v>0</v>
      </c>
      <c r="G62" s="60">
        <f t="shared" si="3"/>
        <v>11.292292972288704</v>
      </c>
      <c r="H62" s="60">
        <f t="shared" si="2"/>
        <v>11.509452452525029</v>
      </c>
      <c r="I62" s="13">
        <v>0</v>
      </c>
      <c r="J62" s="60">
        <f t="shared" si="2"/>
        <v>13.029568814179276</v>
      </c>
      <c r="K62" s="11">
        <v>0</v>
      </c>
      <c r="L62" s="11">
        <v>0</v>
      </c>
      <c r="M62" s="11">
        <v>0</v>
      </c>
      <c r="N62" s="11">
        <v>0</v>
      </c>
    </row>
    <row r="63" spans="1:14" ht="15.75" x14ac:dyDescent="0.25">
      <c r="A63" s="9">
        <v>150</v>
      </c>
      <c r="B63" s="11">
        <v>0</v>
      </c>
      <c r="C63" s="13">
        <v>0</v>
      </c>
      <c r="D63" s="13">
        <v>0</v>
      </c>
      <c r="E63" s="13">
        <v>0</v>
      </c>
      <c r="F63" s="13">
        <v>0</v>
      </c>
      <c r="G63" s="60">
        <f t="shared" si="3"/>
        <v>14.206664199358164</v>
      </c>
      <c r="H63" s="60">
        <f t="shared" si="2"/>
        <v>14.479869280115052</v>
      </c>
      <c r="I63" s="13">
        <v>0</v>
      </c>
      <c r="J63" s="60">
        <f t="shared" si="2"/>
        <v>16.392304845413264</v>
      </c>
      <c r="K63" s="11">
        <v>0</v>
      </c>
      <c r="L63" s="11">
        <v>0</v>
      </c>
      <c r="M63" s="11">
        <v>0</v>
      </c>
      <c r="N63" s="11">
        <v>0</v>
      </c>
    </row>
  </sheetData>
  <mergeCells count="4">
    <mergeCell ref="A2:A3"/>
    <mergeCell ref="B2:N2"/>
    <mergeCell ref="A34:A35"/>
    <mergeCell ref="B34:N3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Desconto Processos</vt:lpstr>
      <vt:lpstr>Acrescimo Tangente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Creado dos Santos</dc:creator>
  <cp:lastModifiedBy>Gabriel Moresco</cp:lastModifiedBy>
  <dcterms:created xsi:type="dcterms:W3CDTF">2018-12-11T17:20:12Z</dcterms:created>
  <dcterms:modified xsi:type="dcterms:W3CDTF">2020-07-16T18:35:14Z</dcterms:modified>
</cp:coreProperties>
</file>